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入力" sheetId="1" state="visible" r:id="rId1"/>
    <sheet name="月次集計" sheetId="2" state="visible" r:id="rId2"/>
    <sheet name="グラフ" sheetId="3" state="visible" r:id="rId3"/>
    <sheet name="商品・サービス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/mm/dd"/>
    <numFmt numFmtId="165" formatCode="#,##0&quot;円&quot;;[Red]-#,##0&quot;円&quot;;-"/>
    <numFmt numFmtId="166" formatCode="#,##0;[Red]-#,##0;-"/>
    <numFmt numFmtId="167" formatCode="yyyy/mm"/>
    <numFmt numFmtId="168" formatCode="0.0%;[Red]-0.0%;-"/>
  </numFmts>
  <fonts count="7">
    <font>
      <name val="Calibri"/>
      <family val="2"/>
      <color theme="1"/>
      <sz val="11"/>
      <scheme val="minor"/>
    </font>
    <font>
      <name val="Meiryo"/>
      <b val="1"/>
      <sz val="13"/>
    </font>
    <font>
      <name val="Meiryo"/>
      <color rgb="00808080"/>
      <sz val="9"/>
    </font>
    <font>
      <name val="Meiryo"/>
      <b val="1"/>
      <color rgb="00FFFFFF"/>
      <sz val="10"/>
    </font>
    <font>
      <name val="Meiryo"/>
      <color rgb="000000FF"/>
      <sz val="10"/>
    </font>
    <font>
      <name val="Meiryo"/>
      <sz val="10"/>
    </font>
    <font>
      <name val="Meiryo"/>
      <b val="1"/>
      <sz val="10"/>
    </font>
  </fonts>
  <fills count="4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1" pivotButton="0" quotePrefix="0" xfId="0"/>
    <xf numFmtId="0" fontId="0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3" fillId="2" borderId="0" applyAlignment="1" pivotButton="0" quotePrefix="0" xfId="0">
      <alignment horizontal="center"/>
    </xf>
    <xf numFmtId="164" fontId="4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5" fontId="4" fillId="3" borderId="1" applyAlignment="1" pivotButton="0" quotePrefix="0" xfId="0">
      <alignment vertical="center"/>
    </xf>
    <xf numFmtId="166" fontId="4" fillId="3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164" fontId="4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5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167" fontId="4" fillId="3" borderId="1" pivotButton="0" quotePrefix="0" xfId="0"/>
    <xf numFmtId="0" fontId="5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168" fontId="5" fillId="0" borderId="1" pivotButton="0" quotePrefix="0" xfId="0"/>
    <xf numFmtId="165" fontId="4" fillId="3" borderId="1" pivotButton="0" quotePrefix="0" xfId="0"/>
    <xf numFmtId="0" fontId="4" fillId="3" borderId="1" pivotButton="0" quotePrefix="0" xfId="0"/>
    <xf numFmtId="166" fontId="4" fillId="3" borderId="1" pivotButton="0" quotePrefix="0" xfId="0"/>
    <xf numFmtId="168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月別の売上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'月次集計'!B6</f>
            </strRef>
          </tx>
          <spPr>
            <a:ln>
              <a:prstDash val="solid"/>
            </a:ln>
          </spPr>
          <cat>
            <numRef>
              <f>'月次集計'!$A$7:$A$30</f>
            </numRef>
          </cat>
          <val>
            <numRef>
              <f>'月次集計'!$B$7:$B$30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売上（円）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客単価の動き</a:t>
            </a:r>
          </a:p>
        </rich>
      </tx>
    </title>
    <plotArea>
      <lineChart>
        <grouping val="standard"/>
        <ser>
          <idx val="0"/>
          <order val="0"/>
          <tx>
            <strRef>
              <f>'月次集計'!D6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'月次集計'!$A$7:$A$30</f>
            </numRef>
          </cat>
          <val>
            <numRef>
              <f>'月次集計'!$D$7:$D$30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客単価（円）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テンプレート</author>
  </authors>
  <commentList>
    <comment ref="I4" authorId="0" shapeId="0">
      <text>
        <t>月次集計シートが SUMIF で使う列。触らないでください。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23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3" customWidth="1" min="3" max="3"/>
    <col width="9" customWidth="1" min="4" max="4"/>
    <col width="12" customWidth="1" min="5" max="5"/>
    <col width="11" customWidth="1" min="6" max="6"/>
    <col width="12" customWidth="1" min="7" max="7"/>
    <col width="30" customWidth="1" min="8" max="8"/>
    <col width="10" customWidth="1" min="9" max="9"/>
  </cols>
  <sheetData>
    <row r="1">
      <c r="A1" s="1" t="inlineStr">
        <is>
          <t>売上管理表｜日次入力</t>
        </is>
      </c>
    </row>
    <row r="2">
      <c r="A2" s="2" t="inlineStr">
        <is>
          <t>青い字のセルに入力してください。黒い字は自動で計算されます。6行目は記入例です。上書きして使ってください。</t>
        </is>
      </c>
    </row>
    <row r="3">
      <c r="A3" s="3" t="inlineStr">
        <is>
          <t>この表の合計</t>
        </is>
      </c>
      <c r="B3" s="4" t="n"/>
      <c r="C3" s="5">
        <f>SUM($C$5:$C$404)</f>
        <v/>
      </c>
      <c r="D3" s="6">
        <f>SUM($D$5:$D$404)</f>
        <v/>
      </c>
      <c r="E3" s="5">
        <f>IFERROR($C$3/$D$3,"")</f>
        <v/>
      </c>
      <c r="F3" s="2" t="inlineStr">
        <is>
          <t>←日付を入れた行だけが足されます</t>
        </is>
      </c>
    </row>
    <row r="4">
      <c r="A4" s="7" t="inlineStr">
        <is>
          <t>日付</t>
        </is>
      </c>
      <c r="B4" s="7" t="inlineStr">
        <is>
          <t>曜日</t>
        </is>
      </c>
      <c r="C4" s="7" t="inlineStr">
        <is>
          <t>売上</t>
        </is>
      </c>
      <c r="D4" s="7" t="inlineStr">
        <is>
          <t>来客数</t>
        </is>
      </c>
      <c r="E4" s="7" t="inlineStr">
        <is>
          <t>客単価</t>
        </is>
      </c>
      <c r="F4" s="7" t="inlineStr">
        <is>
          <t>時間帯</t>
        </is>
      </c>
      <c r="G4" s="7" t="inlineStr">
        <is>
          <t>支払方法</t>
        </is>
      </c>
      <c r="H4" s="7" t="inlineStr">
        <is>
          <t>備考</t>
        </is>
      </c>
      <c r="I4" s="7" t="inlineStr">
        <is>
          <t>月</t>
        </is>
      </c>
    </row>
    <row r="5">
      <c r="A5" s="8" t="inlineStr">
        <is>
          <t>2026/10/01</t>
        </is>
      </c>
      <c r="B5" s="9">
        <f>IF($A5="","",TEXT($A5,"aaa"))</f>
        <v/>
      </c>
      <c r="C5" s="10" t="n">
        <v>128000</v>
      </c>
      <c r="D5" s="11" t="n">
        <v>42</v>
      </c>
      <c r="E5" s="12">
        <f>IFERROR($C5/$D5,"")</f>
        <v/>
      </c>
      <c r="F5" s="13" t="inlineStr">
        <is>
          <t>ランチ</t>
        </is>
      </c>
      <c r="G5" s="13" t="inlineStr">
        <is>
          <t>現金</t>
        </is>
      </c>
      <c r="H5" s="13" t="inlineStr">
        <is>
          <t>雨。来客少なめ</t>
        </is>
      </c>
      <c r="I5" s="9">
        <f>IF($A5="","",TEXT($A5,"yyyy/mm"))</f>
        <v/>
      </c>
    </row>
    <row r="6">
      <c r="A6" s="8" t="n"/>
      <c r="B6" s="9">
        <f>IF($A6="","",TEXT($A6,"aaa"))</f>
        <v/>
      </c>
      <c r="C6" s="10" t="n"/>
      <c r="D6" s="11" t="n"/>
      <c r="E6" s="12">
        <f>IFERROR($C6/$D6,"")</f>
        <v/>
      </c>
      <c r="F6" s="13" t="n"/>
      <c r="G6" s="13" t="n"/>
      <c r="H6" s="13" t="n"/>
      <c r="I6" s="9">
        <f>IF($A6="","",TEXT($A6,"yyyy/mm"))</f>
        <v/>
      </c>
    </row>
    <row r="7">
      <c r="A7" s="8" t="n"/>
      <c r="B7" s="9">
        <f>IF($A7="","",TEXT($A7,"aaa"))</f>
        <v/>
      </c>
      <c r="C7" s="10" t="n"/>
      <c r="D7" s="11" t="n"/>
      <c r="E7" s="12">
        <f>IFERROR($C7/$D7,"")</f>
        <v/>
      </c>
      <c r="F7" s="13" t="n"/>
      <c r="G7" s="13" t="n"/>
      <c r="H7" s="13" t="n"/>
      <c r="I7" s="9">
        <f>IF($A7="","",TEXT($A7,"yyyy/mm"))</f>
        <v/>
      </c>
    </row>
    <row r="8">
      <c r="A8" s="8" t="n"/>
      <c r="B8" s="9">
        <f>IF($A8="","",TEXT($A8,"aaa"))</f>
        <v/>
      </c>
      <c r="C8" s="10" t="n"/>
      <c r="D8" s="11" t="n"/>
      <c r="E8" s="12">
        <f>IFERROR($C8/$D8,"")</f>
        <v/>
      </c>
      <c r="F8" s="13" t="n"/>
      <c r="G8" s="13" t="n"/>
      <c r="H8" s="13" t="n"/>
      <c r="I8" s="9">
        <f>IF($A8="","",TEXT($A8,"yyyy/mm"))</f>
        <v/>
      </c>
    </row>
    <row r="9">
      <c r="A9" s="8" t="n"/>
      <c r="B9" s="9">
        <f>IF($A9="","",TEXT($A9,"aaa"))</f>
        <v/>
      </c>
      <c r="C9" s="10" t="n"/>
      <c r="D9" s="11" t="n"/>
      <c r="E9" s="12">
        <f>IFERROR($C9/$D9,"")</f>
        <v/>
      </c>
      <c r="F9" s="13" t="n"/>
      <c r="G9" s="13" t="n"/>
      <c r="H9" s="13" t="n"/>
      <c r="I9" s="9">
        <f>IF($A9="","",TEXT($A9,"yyyy/mm"))</f>
        <v/>
      </c>
    </row>
    <row r="10">
      <c r="A10" s="8" t="n"/>
      <c r="B10" s="9">
        <f>IF($A10="","",TEXT($A10,"aaa"))</f>
        <v/>
      </c>
      <c r="C10" s="10" t="n"/>
      <c r="D10" s="11" t="n"/>
      <c r="E10" s="12">
        <f>IFERROR($C10/$D10,"")</f>
        <v/>
      </c>
      <c r="F10" s="13" t="n"/>
      <c r="G10" s="13" t="n"/>
      <c r="H10" s="13" t="n"/>
      <c r="I10" s="9">
        <f>IF($A10="","",TEXT($A10,"yyyy/mm"))</f>
        <v/>
      </c>
    </row>
    <row r="11">
      <c r="A11" s="8" t="n"/>
      <c r="B11" s="9">
        <f>IF($A11="","",TEXT($A11,"aaa"))</f>
        <v/>
      </c>
      <c r="C11" s="10" t="n"/>
      <c r="D11" s="11" t="n"/>
      <c r="E11" s="12">
        <f>IFERROR($C11/$D11,"")</f>
        <v/>
      </c>
      <c r="F11" s="13" t="n"/>
      <c r="G11" s="13" t="n"/>
      <c r="H11" s="13" t="n"/>
      <c r="I11" s="9">
        <f>IF($A11="","",TEXT($A11,"yyyy/mm"))</f>
        <v/>
      </c>
    </row>
    <row r="12">
      <c r="A12" s="8" t="n"/>
      <c r="B12" s="9">
        <f>IF($A12="","",TEXT($A12,"aaa"))</f>
        <v/>
      </c>
      <c r="C12" s="10" t="n"/>
      <c r="D12" s="11" t="n"/>
      <c r="E12" s="12">
        <f>IFERROR($C12/$D12,"")</f>
        <v/>
      </c>
      <c r="F12" s="13" t="n"/>
      <c r="G12" s="13" t="n"/>
      <c r="H12" s="13" t="n"/>
      <c r="I12" s="9">
        <f>IF($A12="","",TEXT($A12,"yyyy/mm"))</f>
        <v/>
      </c>
    </row>
    <row r="13">
      <c r="A13" s="8" t="n"/>
      <c r="B13" s="9">
        <f>IF($A13="","",TEXT($A13,"aaa"))</f>
        <v/>
      </c>
      <c r="C13" s="10" t="n"/>
      <c r="D13" s="11" t="n"/>
      <c r="E13" s="12">
        <f>IFERROR($C13/$D13,"")</f>
        <v/>
      </c>
      <c r="F13" s="13" t="n"/>
      <c r="G13" s="13" t="n"/>
      <c r="H13" s="13" t="n"/>
      <c r="I13" s="9">
        <f>IF($A13="","",TEXT($A13,"yyyy/mm"))</f>
        <v/>
      </c>
    </row>
    <row r="14">
      <c r="A14" s="8" t="n"/>
      <c r="B14" s="9">
        <f>IF($A14="","",TEXT($A14,"aaa"))</f>
        <v/>
      </c>
      <c r="C14" s="10" t="n"/>
      <c r="D14" s="11" t="n"/>
      <c r="E14" s="12">
        <f>IFERROR($C14/$D14,"")</f>
        <v/>
      </c>
      <c r="F14" s="13" t="n"/>
      <c r="G14" s="13" t="n"/>
      <c r="H14" s="13" t="n"/>
      <c r="I14" s="9">
        <f>IF($A14="","",TEXT($A14,"yyyy/mm"))</f>
        <v/>
      </c>
    </row>
    <row r="15">
      <c r="A15" s="8" t="n"/>
      <c r="B15" s="9">
        <f>IF($A15="","",TEXT($A15,"aaa"))</f>
        <v/>
      </c>
      <c r="C15" s="10" t="n"/>
      <c r="D15" s="11" t="n"/>
      <c r="E15" s="12">
        <f>IFERROR($C15/$D15,"")</f>
        <v/>
      </c>
      <c r="F15" s="13" t="n"/>
      <c r="G15" s="13" t="n"/>
      <c r="H15" s="13" t="n"/>
      <c r="I15" s="9">
        <f>IF($A15="","",TEXT($A15,"yyyy/mm"))</f>
        <v/>
      </c>
    </row>
    <row r="16">
      <c r="A16" s="8" t="n"/>
      <c r="B16" s="9">
        <f>IF($A16="","",TEXT($A16,"aaa"))</f>
        <v/>
      </c>
      <c r="C16" s="10" t="n"/>
      <c r="D16" s="11" t="n"/>
      <c r="E16" s="12">
        <f>IFERROR($C16/$D16,"")</f>
        <v/>
      </c>
      <c r="F16" s="13" t="n"/>
      <c r="G16" s="13" t="n"/>
      <c r="H16" s="13" t="n"/>
      <c r="I16" s="9">
        <f>IF($A16="","",TEXT($A16,"yyyy/mm"))</f>
        <v/>
      </c>
    </row>
    <row r="17">
      <c r="A17" s="8" t="n"/>
      <c r="B17" s="9">
        <f>IF($A17="","",TEXT($A17,"aaa"))</f>
        <v/>
      </c>
      <c r="C17" s="10" t="n"/>
      <c r="D17" s="11" t="n"/>
      <c r="E17" s="12">
        <f>IFERROR($C17/$D17,"")</f>
        <v/>
      </c>
      <c r="F17" s="13" t="n"/>
      <c r="G17" s="13" t="n"/>
      <c r="H17" s="13" t="n"/>
      <c r="I17" s="9">
        <f>IF($A17="","",TEXT($A17,"yyyy/mm"))</f>
        <v/>
      </c>
    </row>
    <row r="18">
      <c r="A18" s="8" t="n"/>
      <c r="B18" s="9">
        <f>IF($A18="","",TEXT($A18,"aaa"))</f>
        <v/>
      </c>
      <c r="C18" s="10" t="n"/>
      <c r="D18" s="11" t="n"/>
      <c r="E18" s="12">
        <f>IFERROR($C18/$D18,"")</f>
        <v/>
      </c>
      <c r="F18" s="13" t="n"/>
      <c r="G18" s="13" t="n"/>
      <c r="H18" s="13" t="n"/>
      <c r="I18" s="9">
        <f>IF($A18="","",TEXT($A18,"yyyy/mm"))</f>
        <v/>
      </c>
    </row>
    <row r="19">
      <c r="A19" s="8" t="n"/>
      <c r="B19" s="9">
        <f>IF($A19="","",TEXT($A19,"aaa"))</f>
        <v/>
      </c>
      <c r="C19" s="10" t="n"/>
      <c r="D19" s="11" t="n"/>
      <c r="E19" s="12">
        <f>IFERROR($C19/$D19,"")</f>
        <v/>
      </c>
      <c r="F19" s="13" t="n"/>
      <c r="G19" s="13" t="n"/>
      <c r="H19" s="13" t="n"/>
      <c r="I19" s="9">
        <f>IF($A19="","",TEXT($A19,"yyyy/mm"))</f>
        <v/>
      </c>
    </row>
    <row r="20">
      <c r="A20" s="8" t="n"/>
      <c r="B20" s="9">
        <f>IF($A20="","",TEXT($A20,"aaa"))</f>
        <v/>
      </c>
      <c r="C20" s="10" t="n"/>
      <c r="D20" s="11" t="n"/>
      <c r="E20" s="12">
        <f>IFERROR($C20/$D20,"")</f>
        <v/>
      </c>
      <c r="F20" s="13" t="n"/>
      <c r="G20" s="13" t="n"/>
      <c r="H20" s="13" t="n"/>
      <c r="I20" s="9">
        <f>IF($A20="","",TEXT($A20,"yyyy/mm"))</f>
        <v/>
      </c>
    </row>
    <row r="21">
      <c r="A21" s="8" t="n"/>
      <c r="B21" s="9">
        <f>IF($A21="","",TEXT($A21,"aaa"))</f>
        <v/>
      </c>
      <c r="C21" s="10" t="n"/>
      <c r="D21" s="11" t="n"/>
      <c r="E21" s="12">
        <f>IFERROR($C21/$D21,"")</f>
        <v/>
      </c>
      <c r="F21" s="13" t="n"/>
      <c r="G21" s="13" t="n"/>
      <c r="H21" s="13" t="n"/>
      <c r="I21" s="9">
        <f>IF($A21="","",TEXT($A21,"yyyy/mm"))</f>
        <v/>
      </c>
    </row>
    <row r="22">
      <c r="A22" s="8" t="n"/>
      <c r="B22" s="9">
        <f>IF($A22="","",TEXT($A22,"aaa"))</f>
        <v/>
      </c>
      <c r="C22" s="10" t="n"/>
      <c r="D22" s="11" t="n"/>
      <c r="E22" s="12">
        <f>IFERROR($C22/$D22,"")</f>
        <v/>
      </c>
      <c r="F22" s="13" t="n"/>
      <c r="G22" s="13" t="n"/>
      <c r="H22" s="13" t="n"/>
      <c r="I22" s="9">
        <f>IF($A22="","",TEXT($A22,"yyyy/mm"))</f>
        <v/>
      </c>
    </row>
    <row r="23">
      <c r="A23" s="8" t="n"/>
      <c r="B23" s="9">
        <f>IF($A23="","",TEXT($A23,"aaa"))</f>
        <v/>
      </c>
      <c r="C23" s="10" t="n"/>
      <c r="D23" s="11" t="n"/>
      <c r="E23" s="12">
        <f>IFERROR($C23/$D23,"")</f>
        <v/>
      </c>
      <c r="F23" s="13" t="n"/>
      <c r="G23" s="13" t="n"/>
      <c r="H23" s="13" t="n"/>
      <c r="I23" s="9">
        <f>IF($A23="","",TEXT($A23,"yyyy/mm"))</f>
        <v/>
      </c>
    </row>
    <row r="24">
      <c r="A24" s="8" t="n"/>
      <c r="B24" s="9">
        <f>IF($A24="","",TEXT($A24,"aaa"))</f>
        <v/>
      </c>
      <c r="C24" s="10" t="n"/>
      <c r="D24" s="11" t="n"/>
      <c r="E24" s="12">
        <f>IFERROR($C24/$D24,"")</f>
        <v/>
      </c>
      <c r="F24" s="13" t="n"/>
      <c r="G24" s="13" t="n"/>
      <c r="H24" s="13" t="n"/>
      <c r="I24" s="9">
        <f>IF($A24="","",TEXT($A24,"yyyy/mm"))</f>
        <v/>
      </c>
    </row>
    <row r="25">
      <c r="A25" s="8" t="n"/>
      <c r="B25" s="9">
        <f>IF($A25="","",TEXT($A25,"aaa"))</f>
        <v/>
      </c>
      <c r="C25" s="10" t="n"/>
      <c r="D25" s="11" t="n"/>
      <c r="E25" s="12">
        <f>IFERROR($C25/$D25,"")</f>
        <v/>
      </c>
      <c r="F25" s="13" t="n"/>
      <c r="G25" s="13" t="n"/>
      <c r="H25" s="13" t="n"/>
      <c r="I25" s="9">
        <f>IF($A25="","",TEXT($A25,"yyyy/mm"))</f>
        <v/>
      </c>
    </row>
    <row r="26">
      <c r="A26" s="8" t="n"/>
      <c r="B26" s="9">
        <f>IF($A26="","",TEXT($A26,"aaa"))</f>
        <v/>
      </c>
      <c r="C26" s="10" t="n"/>
      <c r="D26" s="11" t="n"/>
      <c r="E26" s="12">
        <f>IFERROR($C26/$D26,"")</f>
        <v/>
      </c>
      <c r="F26" s="13" t="n"/>
      <c r="G26" s="13" t="n"/>
      <c r="H26" s="13" t="n"/>
      <c r="I26" s="9">
        <f>IF($A26="","",TEXT($A26,"yyyy/mm"))</f>
        <v/>
      </c>
    </row>
    <row r="27">
      <c r="A27" s="8" t="n"/>
      <c r="B27" s="9">
        <f>IF($A27="","",TEXT($A27,"aaa"))</f>
        <v/>
      </c>
      <c r="C27" s="10" t="n"/>
      <c r="D27" s="11" t="n"/>
      <c r="E27" s="12">
        <f>IFERROR($C27/$D27,"")</f>
        <v/>
      </c>
      <c r="F27" s="13" t="n"/>
      <c r="G27" s="13" t="n"/>
      <c r="H27" s="13" t="n"/>
      <c r="I27" s="9">
        <f>IF($A27="","",TEXT($A27,"yyyy/mm"))</f>
        <v/>
      </c>
    </row>
    <row r="28">
      <c r="A28" s="8" t="n"/>
      <c r="B28" s="9">
        <f>IF($A28="","",TEXT($A28,"aaa"))</f>
        <v/>
      </c>
      <c r="C28" s="10" t="n"/>
      <c r="D28" s="11" t="n"/>
      <c r="E28" s="12">
        <f>IFERROR($C28/$D28,"")</f>
        <v/>
      </c>
      <c r="F28" s="13" t="n"/>
      <c r="G28" s="13" t="n"/>
      <c r="H28" s="13" t="n"/>
      <c r="I28" s="9">
        <f>IF($A28="","",TEXT($A28,"yyyy/mm"))</f>
        <v/>
      </c>
    </row>
    <row r="29">
      <c r="A29" s="8" t="n"/>
      <c r="B29" s="9">
        <f>IF($A29="","",TEXT($A29,"aaa"))</f>
        <v/>
      </c>
      <c r="C29" s="10" t="n"/>
      <c r="D29" s="11" t="n"/>
      <c r="E29" s="12">
        <f>IFERROR($C29/$D29,"")</f>
        <v/>
      </c>
      <c r="F29" s="13" t="n"/>
      <c r="G29" s="13" t="n"/>
      <c r="H29" s="13" t="n"/>
      <c r="I29" s="9">
        <f>IF($A29="","",TEXT($A29,"yyyy/mm"))</f>
        <v/>
      </c>
    </row>
    <row r="30">
      <c r="A30" s="8" t="n"/>
      <c r="B30" s="9">
        <f>IF($A30="","",TEXT($A30,"aaa"))</f>
        <v/>
      </c>
      <c r="C30" s="10" t="n"/>
      <c r="D30" s="11" t="n"/>
      <c r="E30" s="12">
        <f>IFERROR($C30/$D30,"")</f>
        <v/>
      </c>
      <c r="F30" s="13" t="n"/>
      <c r="G30" s="13" t="n"/>
      <c r="H30" s="13" t="n"/>
      <c r="I30" s="9">
        <f>IF($A30="","",TEXT($A30,"yyyy/mm"))</f>
        <v/>
      </c>
    </row>
    <row r="31">
      <c r="A31" s="8" t="n"/>
      <c r="B31" s="9">
        <f>IF($A31="","",TEXT($A31,"aaa"))</f>
        <v/>
      </c>
      <c r="C31" s="10" t="n"/>
      <c r="D31" s="11" t="n"/>
      <c r="E31" s="12">
        <f>IFERROR($C31/$D31,"")</f>
        <v/>
      </c>
      <c r="F31" s="13" t="n"/>
      <c r="G31" s="13" t="n"/>
      <c r="H31" s="13" t="n"/>
      <c r="I31" s="9">
        <f>IF($A31="","",TEXT($A31,"yyyy/mm"))</f>
        <v/>
      </c>
    </row>
    <row r="32">
      <c r="A32" s="8" t="n"/>
      <c r="B32" s="9">
        <f>IF($A32="","",TEXT($A32,"aaa"))</f>
        <v/>
      </c>
      <c r="C32" s="10" t="n"/>
      <c r="D32" s="11" t="n"/>
      <c r="E32" s="12">
        <f>IFERROR($C32/$D32,"")</f>
        <v/>
      </c>
      <c r="F32" s="13" t="n"/>
      <c r="G32" s="13" t="n"/>
      <c r="H32" s="13" t="n"/>
      <c r="I32" s="9">
        <f>IF($A32="","",TEXT($A32,"yyyy/mm"))</f>
        <v/>
      </c>
    </row>
    <row r="33">
      <c r="A33" s="8" t="n"/>
      <c r="B33" s="9">
        <f>IF($A33="","",TEXT($A33,"aaa"))</f>
        <v/>
      </c>
      <c r="C33" s="10" t="n"/>
      <c r="D33" s="11" t="n"/>
      <c r="E33" s="12">
        <f>IFERROR($C33/$D33,"")</f>
        <v/>
      </c>
      <c r="F33" s="13" t="n"/>
      <c r="G33" s="13" t="n"/>
      <c r="H33" s="13" t="n"/>
      <c r="I33" s="9">
        <f>IF($A33="","",TEXT($A33,"yyyy/mm"))</f>
        <v/>
      </c>
    </row>
    <row r="34">
      <c r="A34" s="8" t="n"/>
      <c r="B34" s="9">
        <f>IF($A34="","",TEXT($A34,"aaa"))</f>
        <v/>
      </c>
      <c r="C34" s="10" t="n"/>
      <c r="D34" s="11" t="n"/>
      <c r="E34" s="12">
        <f>IFERROR($C34/$D34,"")</f>
        <v/>
      </c>
      <c r="F34" s="13" t="n"/>
      <c r="G34" s="13" t="n"/>
      <c r="H34" s="13" t="n"/>
      <c r="I34" s="9">
        <f>IF($A34="","",TEXT($A34,"yyyy/mm"))</f>
        <v/>
      </c>
    </row>
    <row r="35">
      <c r="A35" s="8" t="n"/>
      <c r="B35" s="9">
        <f>IF($A35="","",TEXT($A35,"aaa"))</f>
        <v/>
      </c>
      <c r="C35" s="10" t="n"/>
      <c r="D35" s="11" t="n"/>
      <c r="E35" s="12">
        <f>IFERROR($C35/$D35,"")</f>
        <v/>
      </c>
      <c r="F35" s="13" t="n"/>
      <c r="G35" s="13" t="n"/>
      <c r="H35" s="13" t="n"/>
      <c r="I35" s="9">
        <f>IF($A35="","",TEXT($A35,"yyyy/mm"))</f>
        <v/>
      </c>
    </row>
    <row r="36">
      <c r="A36" s="8" t="n"/>
      <c r="B36" s="9">
        <f>IF($A36="","",TEXT($A36,"aaa"))</f>
        <v/>
      </c>
      <c r="C36" s="10" t="n"/>
      <c r="D36" s="11" t="n"/>
      <c r="E36" s="12">
        <f>IFERROR($C36/$D36,"")</f>
        <v/>
      </c>
      <c r="F36" s="13" t="n"/>
      <c r="G36" s="13" t="n"/>
      <c r="H36" s="13" t="n"/>
      <c r="I36" s="9">
        <f>IF($A36="","",TEXT($A36,"yyyy/mm"))</f>
        <v/>
      </c>
    </row>
    <row r="37">
      <c r="A37" s="8" t="n"/>
      <c r="B37" s="9">
        <f>IF($A37="","",TEXT($A37,"aaa"))</f>
        <v/>
      </c>
      <c r="C37" s="10" t="n"/>
      <c r="D37" s="11" t="n"/>
      <c r="E37" s="12">
        <f>IFERROR($C37/$D37,"")</f>
        <v/>
      </c>
      <c r="F37" s="13" t="n"/>
      <c r="G37" s="13" t="n"/>
      <c r="H37" s="13" t="n"/>
      <c r="I37" s="9">
        <f>IF($A37="","",TEXT($A37,"yyyy/mm"))</f>
        <v/>
      </c>
    </row>
    <row r="38">
      <c r="A38" s="8" t="n"/>
      <c r="B38" s="9">
        <f>IF($A38="","",TEXT($A38,"aaa"))</f>
        <v/>
      </c>
      <c r="C38" s="10" t="n"/>
      <c r="D38" s="11" t="n"/>
      <c r="E38" s="12">
        <f>IFERROR($C38/$D38,"")</f>
        <v/>
      </c>
      <c r="F38" s="13" t="n"/>
      <c r="G38" s="13" t="n"/>
      <c r="H38" s="13" t="n"/>
      <c r="I38" s="9">
        <f>IF($A38="","",TEXT($A38,"yyyy/mm"))</f>
        <v/>
      </c>
    </row>
    <row r="39">
      <c r="A39" s="8" t="n"/>
      <c r="B39" s="9">
        <f>IF($A39="","",TEXT($A39,"aaa"))</f>
        <v/>
      </c>
      <c r="C39" s="10" t="n"/>
      <c r="D39" s="11" t="n"/>
      <c r="E39" s="12">
        <f>IFERROR($C39/$D39,"")</f>
        <v/>
      </c>
      <c r="F39" s="13" t="n"/>
      <c r="G39" s="13" t="n"/>
      <c r="H39" s="13" t="n"/>
      <c r="I39" s="9">
        <f>IF($A39="","",TEXT($A39,"yyyy/mm"))</f>
        <v/>
      </c>
    </row>
    <row r="40">
      <c r="A40" s="14" t="n"/>
      <c r="B40" s="15">
        <f>IF($A40="","",TEXT($A40,"aaa"))</f>
        <v/>
      </c>
      <c r="C40" s="16" t="n"/>
      <c r="D40" s="17" t="n"/>
      <c r="E40" s="18">
        <f>IFERROR($C40/$D40,"")</f>
        <v/>
      </c>
      <c r="F40" s="19" t="n"/>
      <c r="G40" s="19" t="n"/>
      <c r="H40" s="19" t="n"/>
      <c r="I40" s="15">
        <f>IF($A40="","",TEXT($A40,"yyyy/mm"))</f>
        <v/>
      </c>
    </row>
    <row r="41">
      <c r="A41" s="14" t="n"/>
      <c r="B41" s="15">
        <f>IF($A41="","",TEXT($A41,"aaa"))</f>
        <v/>
      </c>
      <c r="C41" s="16" t="n"/>
      <c r="D41" s="17" t="n"/>
      <c r="E41" s="18">
        <f>IFERROR($C41/$D41,"")</f>
        <v/>
      </c>
      <c r="F41" s="19" t="n"/>
      <c r="G41" s="19" t="n"/>
      <c r="H41" s="19" t="n"/>
      <c r="I41" s="15">
        <f>IF($A41="","",TEXT($A41,"yyyy/mm"))</f>
        <v/>
      </c>
    </row>
    <row r="42">
      <c r="A42" s="14" t="n"/>
      <c r="B42" s="15">
        <f>IF($A42="","",TEXT($A42,"aaa"))</f>
        <v/>
      </c>
      <c r="C42" s="16" t="n"/>
      <c r="D42" s="17" t="n"/>
      <c r="E42" s="18">
        <f>IFERROR($C42/$D42,"")</f>
        <v/>
      </c>
      <c r="F42" s="19" t="n"/>
      <c r="G42" s="19" t="n"/>
      <c r="H42" s="19" t="n"/>
      <c r="I42" s="15">
        <f>IF($A42="","",TEXT($A42,"yyyy/mm"))</f>
        <v/>
      </c>
    </row>
    <row r="43">
      <c r="A43" s="14" t="n"/>
      <c r="B43" s="15">
        <f>IF($A43="","",TEXT($A43,"aaa"))</f>
        <v/>
      </c>
      <c r="C43" s="16" t="n"/>
      <c r="D43" s="17" t="n"/>
      <c r="E43" s="18">
        <f>IFERROR($C43/$D43,"")</f>
        <v/>
      </c>
      <c r="F43" s="19" t="n"/>
      <c r="G43" s="19" t="n"/>
      <c r="H43" s="19" t="n"/>
      <c r="I43" s="15">
        <f>IF($A43="","",TEXT($A43,"yyyy/mm"))</f>
        <v/>
      </c>
    </row>
    <row r="44">
      <c r="A44" s="14" t="n"/>
      <c r="B44" s="15">
        <f>IF($A44="","",TEXT($A44,"aaa"))</f>
        <v/>
      </c>
      <c r="C44" s="16" t="n"/>
      <c r="D44" s="17" t="n"/>
      <c r="E44" s="18">
        <f>IFERROR($C44/$D44,"")</f>
        <v/>
      </c>
      <c r="F44" s="19" t="n"/>
      <c r="G44" s="19" t="n"/>
      <c r="H44" s="19" t="n"/>
      <c r="I44" s="15">
        <f>IF($A44="","",TEXT($A44,"yyyy/mm"))</f>
        <v/>
      </c>
    </row>
    <row r="45">
      <c r="A45" s="14" t="n"/>
      <c r="B45" s="15">
        <f>IF($A45="","",TEXT($A45,"aaa"))</f>
        <v/>
      </c>
      <c r="C45" s="16" t="n"/>
      <c r="D45" s="17" t="n"/>
      <c r="E45" s="18">
        <f>IFERROR($C45/$D45,"")</f>
        <v/>
      </c>
      <c r="F45" s="19" t="n"/>
      <c r="G45" s="19" t="n"/>
      <c r="H45" s="19" t="n"/>
      <c r="I45" s="15">
        <f>IF($A45="","",TEXT($A45,"yyyy/mm"))</f>
        <v/>
      </c>
    </row>
    <row r="46">
      <c r="A46" s="14" t="n"/>
      <c r="B46" s="15">
        <f>IF($A46="","",TEXT($A46,"aaa"))</f>
        <v/>
      </c>
      <c r="C46" s="16" t="n"/>
      <c r="D46" s="17" t="n"/>
      <c r="E46" s="18">
        <f>IFERROR($C46/$D46,"")</f>
        <v/>
      </c>
      <c r="F46" s="19" t="n"/>
      <c r="G46" s="19" t="n"/>
      <c r="H46" s="19" t="n"/>
      <c r="I46" s="15">
        <f>IF($A46="","",TEXT($A46,"yyyy/mm"))</f>
        <v/>
      </c>
    </row>
    <row r="47">
      <c r="A47" s="14" t="n"/>
      <c r="B47" s="15">
        <f>IF($A47="","",TEXT($A47,"aaa"))</f>
        <v/>
      </c>
      <c r="C47" s="16" t="n"/>
      <c r="D47" s="17" t="n"/>
      <c r="E47" s="18">
        <f>IFERROR($C47/$D47,"")</f>
        <v/>
      </c>
      <c r="F47" s="19" t="n"/>
      <c r="G47" s="19" t="n"/>
      <c r="H47" s="19" t="n"/>
      <c r="I47" s="15">
        <f>IF($A47="","",TEXT($A47,"yyyy/mm"))</f>
        <v/>
      </c>
    </row>
    <row r="48">
      <c r="A48" s="14" t="n"/>
      <c r="B48" s="15">
        <f>IF($A48="","",TEXT($A48,"aaa"))</f>
        <v/>
      </c>
      <c r="C48" s="16" t="n"/>
      <c r="D48" s="17" t="n"/>
      <c r="E48" s="18">
        <f>IFERROR($C48/$D48,"")</f>
        <v/>
      </c>
      <c r="F48" s="19" t="n"/>
      <c r="G48" s="19" t="n"/>
      <c r="H48" s="19" t="n"/>
      <c r="I48" s="15">
        <f>IF($A48="","",TEXT($A48,"yyyy/mm"))</f>
        <v/>
      </c>
    </row>
    <row r="49">
      <c r="A49" s="14" t="n"/>
      <c r="B49" s="15">
        <f>IF($A49="","",TEXT($A49,"aaa"))</f>
        <v/>
      </c>
      <c r="C49" s="16" t="n"/>
      <c r="D49" s="17" t="n"/>
      <c r="E49" s="18">
        <f>IFERROR($C49/$D49,"")</f>
        <v/>
      </c>
      <c r="F49" s="19" t="n"/>
      <c r="G49" s="19" t="n"/>
      <c r="H49" s="19" t="n"/>
      <c r="I49" s="15">
        <f>IF($A49="","",TEXT($A49,"yyyy/mm"))</f>
        <v/>
      </c>
    </row>
    <row r="50">
      <c r="A50" s="14" t="n"/>
      <c r="B50" s="15">
        <f>IF($A50="","",TEXT($A50,"aaa"))</f>
        <v/>
      </c>
      <c r="C50" s="16" t="n"/>
      <c r="D50" s="17" t="n"/>
      <c r="E50" s="18">
        <f>IFERROR($C50/$D50,"")</f>
        <v/>
      </c>
      <c r="F50" s="19" t="n"/>
      <c r="G50" s="19" t="n"/>
      <c r="H50" s="19" t="n"/>
      <c r="I50" s="15">
        <f>IF($A50="","",TEXT($A50,"yyyy/mm"))</f>
        <v/>
      </c>
    </row>
    <row r="51">
      <c r="A51" s="14" t="n"/>
      <c r="B51" s="15">
        <f>IF($A51="","",TEXT($A51,"aaa"))</f>
        <v/>
      </c>
      <c r="C51" s="16" t="n"/>
      <c r="D51" s="17" t="n"/>
      <c r="E51" s="18">
        <f>IFERROR($C51/$D51,"")</f>
        <v/>
      </c>
      <c r="F51" s="19" t="n"/>
      <c r="G51" s="19" t="n"/>
      <c r="H51" s="19" t="n"/>
      <c r="I51" s="15">
        <f>IF($A51="","",TEXT($A51,"yyyy/mm"))</f>
        <v/>
      </c>
    </row>
    <row r="52">
      <c r="A52" s="14" t="n"/>
      <c r="B52" s="15">
        <f>IF($A52="","",TEXT($A52,"aaa"))</f>
        <v/>
      </c>
      <c r="C52" s="16" t="n"/>
      <c r="D52" s="17" t="n"/>
      <c r="E52" s="18">
        <f>IFERROR($C52/$D52,"")</f>
        <v/>
      </c>
      <c r="F52" s="19" t="n"/>
      <c r="G52" s="19" t="n"/>
      <c r="H52" s="19" t="n"/>
      <c r="I52" s="15">
        <f>IF($A52="","",TEXT($A52,"yyyy/mm"))</f>
        <v/>
      </c>
    </row>
    <row r="53">
      <c r="A53" s="14" t="n"/>
      <c r="B53" s="15">
        <f>IF($A53="","",TEXT($A53,"aaa"))</f>
        <v/>
      </c>
      <c r="C53" s="16" t="n"/>
      <c r="D53" s="17" t="n"/>
      <c r="E53" s="18">
        <f>IFERROR($C53/$D53,"")</f>
        <v/>
      </c>
      <c r="F53" s="19" t="n"/>
      <c r="G53" s="19" t="n"/>
      <c r="H53" s="19" t="n"/>
      <c r="I53" s="15">
        <f>IF($A53="","",TEXT($A53,"yyyy/mm"))</f>
        <v/>
      </c>
    </row>
    <row r="54">
      <c r="A54" s="14" t="n"/>
      <c r="B54" s="15">
        <f>IF($A54="","",TEXT($A54,"aaa"))</f>
        <v/>
      </c>
      <c r="C54" s="16" t="n"/>
      <c r="D54" s="17" t="n"/>
      <c r="E54" s="18">
        <f>IFERROR($C54/$D54,"")</f>
        <v/>
      </c>
      <c r="F54" s="19" t="n"/>
      <c r="G54" s="19" t="n"/>
      <c r="H54" s="19" t="n"/>
      <c r="I54" s="15">
        <f>IF($A54="","",TEXT($A54,"yyyy/mm"))</f>
        <v/>
      </c>
    </row>
    <row r="55">
      <c r="A55" s="14" t="n"/>
      <c r="B55" s="15">
        <f>IF($A55="","",TEXT($A55,"aaa"))</f>
        <v/>
      </c>
      <c r="C55" s="16" t="n"/>
      <c r="D55" s="17" t="n"/>
      <c r="E55" s="18">
        <f>IFERROR($C55/$D55,"")</f>
        <v/>
      </c>
      <c r="F55" s="19" t="n"/>
      <c r="G55" s="19" t="n"/>
      <c r="H55" s="19" t="n"/>
      <c r="I55" s="15">
        <f>IF($A55="","",TEXT($A55,"yyyy/mm"))</f>
        <v/>
      </c>
    </row>
    <row r="56">
      <c r="A56" s="14" t="n"/>
      <c r="B56" s="15">
        <f>IF($A56="","",TEXT($A56,"aaa"))</f>
        <v/>
      </c>
      <c r="C56" s="16" t="n"/>
      <c r="D56" s="17" t="n"/>
      <c r="E56" s="18">
        <f>IFERROR($C56/$D56,"")</f>
        <v/>
      </c>
      <c r="F56" s="19" t="n"/>
      <c r="G56" s="19" t="n"/>
      <c r="H56" s="19" t="n"/>
      <c r="I56" s="15">
        <f>IF($A56="","",TEXT($A56,"yyyy/mm"))</f>
        <v/>
      </c>
    </row>
    <row r="57">
      <c r="A57" s="14" t="n"/>
      <c r="B57" s="15">
        <f>IF($A57="","",TEXT($A57,"aaa"))</f>
        <v/>
      </c>
      <c r="C57" s="16" t="n"/>
      <c r="D57" s="17" t="n"/>
      <c r="E57" s="18">
        <f>IFERROR($C57/$D57,"")</f>
        <v/>
      </c>
      <c r="F57" s="19" t="n"/>
      <c r="G57" s="19" t="n"/>
      <c r="H57" s="19" t="n"/>
      <c r="I57" s="15">
        <f>IF($A57="","",TEXT($A57,"yyyy/mm"))</f>
        <v/>
      </c>
    </row>
    <row r="58">
      <c r="A58" s="14" t="n"/>
      <c r="B58" s="15">
        <f>IF($A58="","",TEXT($A58,"aaa"))</f>
        <v/>
      </c>
      <c r="C58" s="16" t="n"/>
      <c r="D58" s="17" t="n"/>
      <c r="E58" s="18">
        <f>IFERROR($C58/$D58,"")</f>
        <v/>
      </c>
      <c r="F58" s="19" t="n"/>
      <c r="G58" s="19" t="n"/>
      <c r="H58" s="19" t="n"/>
      <c r="I58" s="15">
        <f>IF($A58="","",TEXT($A58,"yyyy/mm"))</f>
        <v/>
      </c>
    </row>
    <row r="59">
      <c r="A59" s="14" t="n"/>
      <c r="B59" s="15">
        <f>IF($A59="","",TEXT($A59,"aaa"))</f>
        <v/>
      </c>
      <c r="C59" s="16" t="n"/>
      <c r="D59" s="17" t="n"/>
      <c r="E59" s="18">
        <f>IFERROR($C59/$D59,"")</f>
        <v/>
      </c>
      <c r="F59" s="19" t="n"/>
      <c r="G59" s="19" t="n"/>
      <c r="H59" s="19" t="n"/>
      <c r="I59" s="15">
        <f>IF($A59="","",TEXT($A59,"yyyy/mm"))</f>
        <v/>
      </c>
    </row>
    <row r="60">
      <c r="A60" s="14" t="n"/>
      <c r="B60" s="15">
        <f>IF($A60="","",TEXT($A60,"aaa"))</f>
        <v/>
      </c>
      <c r="C60" s="16" t="n"/>
      <c r="D60" s="17" t="n"/>
      <c r="E60" s="18">
        <f>IFERROR($C60/$D60,"")</f>
        <v/>
      </c>
      <c r="F60" s="19" t="n"/>
      <c r="G60" s="19" t="n"/>
      <c r="H60" s="19" t="n"/>
      <c r="I60" s="15">
        <f>IF($A60="","",TEXT($A60,"yyyy/mm"))</f>
        <v/>
      </c>
    </row>
    <row r="61">
      <c r="A61" s="14" t="n"/>
      <c r="B61" s="15">
        <f>IF($A61="","",TEXT($A61,"aaa"))</f>
        <v/>
      </c>
      <c r="C61" s="16" t="n"/>
      <c r="D61" s="17" t="n"/>
      <c r="E61" s="18">
        <f>IFERROR($C61/$D61,"")</f>
        <v/>
      </c>
      <c r="F61" s="19" t="n"/>
      <c r="G61" s="19" t="n"/>
      <c r="H61" s="19" t="n"/>
      <c r="I61" s="15">
        <f>IF($A61="","",TEXT($A61,"yyyy/mm"))</f>
        <v/>
      </c>
    </row>
    <row r="62">
      <c r="A62" s="14" t="n"/>
      <c r="B62" s="15">
        <f>IF($A62="","",TEXT($A62,"aaa"))</f>
        <v/>
      </c>
      <c r="C62" s="16" t="n"/>
      <c r="D62" s="17" t="n"/>
      <c r="E62" s="18">
        <f>IFERROR($C62/$D62,"")</f>
        <v/>
      </c>
      <c r="F62" s="19" t="n"/>
      <c r="G62" s="19" t="n"/>
      <c r="H62" s="19" t="n"/>
      <c r="I62" s="15">
        <f>IF($A62="","",TEXT($A62,"yyyy/mm"))</f>
        <v/>
      </c>
    </row>
    <row r="63">
      <c r="A63" s="14" t="n"/>
      <c r="B63" s="15">
        <f>IF($A63="","",TEXT($A63,"aaa"))</f>
        <v/>
      </c>
      <c r="C63" s="16" t="n"/>
      <c r="D63" s="17" t="n"/>
      <c r="E63" s="18">
        <f>IFERROR($C63/$D63,"")</f>
        <v/>
      </c>
      <c r="F63" s="19" t="n"/>
      <c r="G63" s="19" t="n"/>
      <c r="H63" s="19" t="n"/>
      <c r="I63" s="15">
        <f>IF($A63="","",TEXT($A63,"yyyy/mm"))</f>
        <v/>
      </c>
    </row>
    <row r="64">
      <c r="A64" s="14" t="n"/>
      <c r="B64" s="15">
        <f>IF($A64="","",TEXT($A64,"aaa"))</f>
        <v/>
      </c>
      <c r="C64" s="16" t="n"/>
      <c r="D64" s="17" t="n"/>
      <c r="E64" s="18">
        <f>IFERROR($C64/$D64,"")</f>
        <v/>
      </c>
      <c r="F64" s="19" t="n"/>
      <c r="G64" s="19" t="n"/>
      <c r="H64" s="19" t="n"/>
      <c r="I64" s="15">
        <f>IF($A64="","",TEXT($A64,"yyyy/mm"))</f>
        <v/>
      </c>
    </row>
    <row r="65">
      <c r="A65" s="14" t="n"/>
      <c r="B65" s="15">
        <f>IF($A65="","",TEXT($A65,"aaa"))</f>
        <v/>
      </c>
      <c r="C65" s="16" t="n"/>
      <c r="D65" s="17" t="n"/>
      <c r="E65" s="18">
        <f>IFERROR($C65/$D65,"")</f>
        <v/>
      </c>
      <c r="F65" s="19" t="n"/>
      <c r="G65" s="19" t="n"/>
      <c r="H65" s="19" t="n"/>
      <c r="I65" s="15">
        <f>IF($A65="","",TEXT($A65,"yyyy/mm"))</f>
        <v/>
      </c>
    </row>
    <row r="66">
      <c r="A66" s="14" t="n"/>
      <c r="B66" s="15">
        <f>IF($A66="","",TEXT($A66,"aaa"))</f>
        <v/>
      </c>
      <c r="C66" s="16" t="n"/>
      <c r="D66" s="17" t="n"/>
      <c r="E66" s="18">
        <f>IFERROR($C66/$D66,"")</f>
        <v/>
      </c>
      <c r="F66" s="19" t="n"/>
      <c r="G66" s="19" t="n"/>
      <c r="H66" s="19" t="n"/>
      <c r="I66" s="15">
        <f>IF($A66="","",TEXT($A66,"yyyy/mm"))</f>
        <v/>
      </c>
    </row>
    <row r="67">
      <c r="A67" s="14" t="n"/>
      <c r="B67" s="15">
        <f>IF($A67="","",TEXT($A67,"aaa"))</f>
        <v/>
      </c>
      <c r="C67" s="16" t="n"/>
      <c r="D67" s="17" t="n"/>
      <c r="E67" s="18">
        <f>IFERROR($C67/$D67,"")</f>
        <v/>
      </c>
      <c r="F67" s="19" t="n"/>
      <c r="G67" s="19" t="n"/>
      <c r="H67" s="19" t="n"/>
      <c r="I67" s="15">
        <f>IF($A67="","",TEXT($A67,"yyyy/mm"))</f>
        <v/>
      </c>
    </row>
    <row r="68">
      <c r="A68" s="14" t="n"/>
      <c r="B68" s="15">
        <f>IF($A68="","",TEXT($A68,"aaa"))</f>
        <v/>
      </c>
      <c r="C68" s="16" t="n"/>
      <c r="D68" s="17" t="n"/>
      <c r="E68" s="18">
        <f>IFERROR($C68/$D68,"")</f>
        <v/>
      </c>
      <c r="F68" s="19" t="n"/>
      <c r="G68" s="19" t="n"/>
      <c r="H68" s="19" t="n"/>
      <c r="I68" s="15">
        <f>IF($A68="","",TEXT($A68,"yyyy/mm"))</f>
        <v/>
      </c>
    </row>
    <row r="69">
      <c r="A69" s="14" t="n"/>
      <c r="B69" s="15">
        <f>IF($A69="","",TEXT($A69,"aaa"))</f>
        <v/>
      </c>
      <c r="C69" s="16" t="n"/>
      <c r="D69" s="17" t="n"/>
      <c r="E69" s="18">
        <f>IFERROR($C69/$D69,"")</f>
        <v/>
      </c>
      <c r="F69" s="19" t="n"/>
      <c r="G69" s="19" t="n"/>
      <c r="H69" s="19" t="n"/>
      <c r="I69" s="15">
        <f>IF($A69="","",TEXT($A69,"yyyy/mm"))</f>
        <v/>
      </c>
    </row>
    <row r="70">
      <c r="A70" s="14" t="n"/>
      <c r="B70" s="15">
        <f>IF($A70="","",TEXT($A70,"aaa"))</f>
        <v/>
      </c>
      <c r="C70" s="16" t="n"/>
      <c r="D70" s="17" t="n"/>
      <c r="E70" s="18">
        <f>IFERROR($C70/$D70,"")</f>
        <v/>
      </c>
      <c r="F70" s="19" t="n"/>
      <c r="G70" s="19" t="n"/>
      <c r="H70" s="19" t="n"/>
      <c r="I70" s="15">
        <f>IF($A70="","",TEXT($A70,"yyyy/mm"))</f>
        <v/>
      </c>
    </row>
    <row r="71">
      <c r="A71" s="14" t="n"/>
      <c r="B71" s="15">
        <f>IF($A71="","",TEXT($A71,"aaa"))</f>
        <v/>
      </c>
      <c r="C71" s="16" t="n"/>
      <c r="D71" s="17" t="n"/>
      <c r="E71" s="18">
        <f>IFERROR($C71/$D71,"")</f>
        <v/>
      </c>
      <c r="F71" s="19" t="n"/>
      <c r="G71" s="19" t="n"/>
      <c r="H71" s="19" t="n"/>
      <c r="I71" s="15">
        <f>IF($A71="","",TEXT($A71,"yyyy/mm"))</f>
        <v/>
      </c>
    </row>
    <row r="72">
      <c r="A72" s="14" t="n"/>
      <c r="B72" s="15">
        <f>IF($A72="","",TEXT($A72,"aaa"))</f>
        <v/>
      </c>
      <c r="C72" s="16" t="n"/>
      <c r="D72" s="17" t="n"/>
      <c r="E72" s="18">
        <f>IFERROR($C72/$D72,"")</f>
        <v/>
      </c>
      <c r="F72" s="19" t="n"/>
      <c r="G72" s="19" t="n"/>
      <c r="H72" s="19" t="n"/>
      <c r="I72" s="15">
        <f>IF($A72="","",TEXT($A72,"yyyy/mm"))</f>
        <v/>
      </c>
    </row>
    <row r="73">
      <c r="A73" s="14" t="n"/>
      <c r="B73" s="15">
        <f>IF($A73="","",TEXT($A73,"aaa"))</f>
        <v/>
      </c>
      <c r="C73" s="16" t="n"/>
      <c r="D73" s="17" t="n"/>
      <c r="E73" s="18">
        <f>IFERROR($C73/$D73,"")</f>
        <v/>
      </c>
      <c r="F73" s="19" t="n"/>
      <c r="G73" s="19" t="n"/>
      <c r="H73" s="19" t="n"/>
      <c r="I73" s="15">
        <f>IF($A73="","",TEXT($A73,"yyyy/mm"))</f>
        <v/>
      </c>
    </row>
    <row r="74">
      <c r="A74" s="14" t="n"/>
      <c r="B74" s="15">
        <f>IF($A74="","",TEXT($A74,"aaa"))</f>
        <v/>
      </c>
      <c r="C74" s="16" t="n"/>
      <c r="D74" s="17" t="n"/>
      <c r="E74" s="18">
        <f>IFERROR($C74/$D74,"")</f>
        <v/>
      </c>
      <c r="F74" s="19" t="n"/>
      <c r="G74" s="19" t="n"/>
      <c r="H74" s="19" t="n"/>
      <c r="I74" s="15">
        <f>IF($A74="","",TEXT($A74,"yyyy/mm"))</f>
        <v/>
      </c>
    </row>
    <row r="75">
      <c r="A75" s="14" t="n"/>
      <c r="B75" s="15">
        <f>IF($A75="","",TEXT($A75,"aaa"))</f>
        <v/>
      </c>
      <c r="C75" s="16" t="n"/>
      <c r="D75" s="17" t="n"/>
      <c r="E75" s="18">
        <f>IFERROR($C75/$D75,"")</f>
        <v/>
      </c>
      <c r="F75" s="19" t="n"/>
      <c r="G75" s="19" t="n"/>
      <c r="H75" s="19" t="n"/>
      <c r="I75" s="15">
        <f>IF($A75="","",TEXT($A75,"yyyy/mm"))</f>
        <v/>
      </c>
    </row>
    <row r="76">
      <c r="A76" s="14" t="n"/>
      <c r="B76" s="15">
        <f>IF($A76="","",TEXT($A76,"aaa"))</f>
        <v/>
      </c>
      <c r="C76" s="16" t="n"/>
      <c r="D76" s="17" t="n"/>
      <c r="E76" s="18">
        <f>IFERROR($C76/$D76,"")</f>
        <v/>
      </c>
      <c r="F76" s="19" t="n"/>
      <c r="G76" s="19" t="n"/>
      <c r="H76" s="19" t="n"/>
      <c r="I76" s="15">
        <f>IF($A76="","",TEXT($A76,"yyyy/mm"))</f>
        <v/>
      </c>
    </row>
    <row r="77">
      <c r="A77" s="14" t="n"/>
      <c r="B77" s="15">
        <f>IF($A77="","",TEXT($A77,"aaa"))</f>
        <v/>
      </c>
      <c r="C77" s="16" t="n"/>
      <c r="D77" s="17" t="n"/>
      <c r="E77" s="18">
        <f>IFERROR($C77/$D77,"")</f>
        <v/>
      </c>
      <c r="F77" s="19" t="n"/>
      <c r="G77" s="19" t="n"/>
      <c r="H77" s="19" t="n"/>
      <c r="I77" s="15">
        <f>IF($A77="","",TEXT($A77,"yyyy/mm"))</f>
        <v/>
      </c>
    </row>
    <row r="78">
      <c r="A78" s="14" t="n"/>
      <c r="B78" s="15">
        <f>IF($A78="","",TEXT($A78,"aaa"))</f>
        <v/>
      </c>
      <c r="C78" s="16" t="n"/>
      <c r="D78" s="17" t="n"/>
      <c r="E78" s="18">
        <f>IFERROR($C78/$D78,"")</f>
        <v/>
      </c>
      <c r="F78" s="19" t="n"/>
      <c r="G78" s="19" t="n"/>
      <c r="H78" s="19" t="n"/>
      <c r="I78" s="15">
        <f>IF($A78="","",TEXT($A78,"yyyy/mm"))</f>
        <v/>
      </c>
    </row>
    <row r="79">
      <c r="A79" s="14" t="n"/>
      <c r="B79" s="15">
        <f>IF($A79="","",TEXT($A79,"aaa"))</f>
        <v/>
      </c>
      <c r="C79" s="16" t="n"/>
      <c r="D79" s="17" t="n"/>
      <c r="E79" s="18">
        <f>IFERROR($C79/$D79,"")</f>
        <v/>
      </c>
      <c r="F79" s="19" t="n"/>
      <c r="G79" s="19" t="n"/>
      <c r="H79" s="19" t="n"/>
      <c r="I79" s="15">
        <f>IF($A79="","",TEXT($A79,"yyyy/mm"))</f>
        <v/>
      </c>
    </row>
    <row r="80">
      <c r="A80" s="14" t="n"/>
      <c r="B80" s="15">
        <f>IF($A80="","",TEXT($A80,"aaa"))</f>
        <v/>
      </c>
      <c r="C80" s="16" t="n"/>
      <c r="D80" s="17" t="n"/>
      <c r="E80" s="18">
        <f>IFERROR($C80/$D80,"")</f>
        <v/>
      </c>
      <c r="F80" s="19" t="n"/>
      <c r="G80" s="19" t="n"/>
      <c r="H80" s="19" t="n"/>
      <c r="I80" s="15">
        <f>IF($A80="","",TEXT($A80,"yyyy/mm"))</f>
        <v/>
      </c>
    </row>
    <row r="81">
      <c r="A81" s="14" t="n"/>
      <c r="B81" s="15">
        <f>IF($A81="","",TEXT($A81,"aaa"))</f>
        <v/>
      </c>
      <c r="C81" s="16" t="n"/>
      <c r="D81" s="17" t="n"/>
      <c r="E81" s="18">
        <f>IFERROR($C81/$D81,"")</f>
        <v/>
      </c>
      <c r="F81" s="19" t="n"/>
      <c r="G81" s="19" t="n"/>
      <c r="H81" s="19" t="n"/>
      <c r="I81" s="15">
        <f>IF($A81="","",TEXT($A81,"yyyy/mm"))</f>
        <v/>
      </c>
    </row>
    <row r="82">
      <c r="A82" s="14" t="n"/>
      <c r="B82" s="15">
        <f>IF($A82="","",TEXT($A82,"aaa"))</f>
        <v/>
      </c>
      <c r="C82" s="16" t="n"/>
      <c r="D82" s="17" t="n"/>
      <c r="E82" s="18">
        <f>IFERROR($C82/$D82,"")</f>
        <v/>
      </c>
      <c r="F82" s="19" t="n"/>
      <c r="G82" s="19" t="n"/>
      <c r="H82" s="19" t="n"/>
      <c r="I82" s="15">
        <f>IF($A82="","",TEXT($A82,"yyyy/mm"))</f>
        <v/>
      </c>
    </row>
    <row r="83">
      <c r="A83" s="14" t="n"/>
      <c r="B83" s="15">
        <f>IF($A83="","",TEXT($A83,"aaa"))</f>
        <v/>
      </c>
      <c r="C83" s="16" t="n"/>
      <c r="D83" s="17" t="n"/>
      <c r="E83" s="18">
        <f>IFERROR($C83/$D83,"")</f>
        <v/>
      </c>
      <c r="F83" s="19" t="n"/>
      <c r="G83" s="19" t="n"/>
      <c r="H83" s="19" t="n"/>
      <c r="I83" s="15">
        <f>IF($A83="","",TEXT($A83,"yyyy/mm"))</f>
        <v/>
      </c>
    </row>
    <row r="84">
      <c r="A84" s="14" t="n"/>
      <c r="B84" s="15">
        <f>IF($A84="","",TEXT($A84,"aaa"))</f>
        <v/>
      </c>
      <c r="C84" s="16" t="n"/>
      <c r="D84" s="17" t="n"/>
      <c r="E84" s="18">
        <f>IFERROR($C84/$D84,"")</f>
        <v/>
      </c>
      <c r="F84" s="19" t="n"/>
      <c r="G84" s="19" t="n"/>
      <c r="H84" s="19" t="n"/>
      <c r="I84" s="15">
        <f>IF($A84="","",TEXT($A84,"yyyy/mm"))</f>
        <v/>
      </c>
    </row>
    <row r="85">
      <c r="A85" s="14" t="n"/>
      <c r="B85" s="15">
        <f>IF($A85="","",TEXT($A85,"aaa"))</f>
        <v/>
      </c>
      <c r="C85" s="16" t="n"/>
      <c r="D85" s="17" t="n"/>
      <c r="E85" s="18">
        <f>IFERROR($C85/$D85,"")</f>
        <v/>
      </c>
      <c r="F85" s="19" t="n"/>
      <c r="G85" s="19" t="n"/>
      <c r="H85" s="19" t="n"/>
      <c r="I85" s="15">
        <f>IF($A85="","",TEXT($A85,"yyyy/mm"))</f>
        <v/>
      </c>
    </row>
    <row r="86">
      <c r="A86" s="14" t="n"/>
      <c r="B86" s="15">
        <f>IF($A86="","",TEXT($A86,"aaa"))</f>
        <v/>
      </c>
      <c r="C86" s="16" t="n"/>
      <c r="D86" s="17" t="n"/>
      <c r="E86" s="18">
        <f>IFERROR($C86/$D86,"")</f>
        <v/>
      </c>
      <c r="F86" s="19" t="n"/>
      <c r="G86" s="19" t="n"/>
      <c r="H86" s="19" t="n"/>
      <c r="I86" s="15">
        <f>IF($A86="","",TEXT($A86,"yyyy/mm"))</f>
        <v/>
      </c>
    </row>
    <row r="87">
      <c r="A87" s="14" t="n"/>
      <c r="B87" s="15">
        <f>IF($A87="","",TEXT($A87,"aaa"))</f>
        <v/>
      </c>
      <c r="C87" s="16" t="n"/>
      <c r="D87" s="17" t="n"/>
      <c r="E87" s="18">
        <f>IFERROR($C87/$D87,"")</f>
        <v/>
      </c>
      <c r="F87" s="19" t="n"/>
      <c r="G87" s="19" t="n"/>
      <c r="H87" s="19" t="n"/>
      <c r="I87" s="15">
        <f>IF($A87="","",TEXT($A87,"yyyy/mm"))</f>
        <v/>
      </c>
    </row>
    <row r="88">
      <c r="A88" s="14" t="n"/>
      <c r="B88" s="15">
        <f>IF($A88="","",TEXT($A88,"aaa"))</f>
        <v/>
      </c>
      <c r="C88" s="16" t="n"/>
      <c r="D88" s="17" t="n"/>
      <c r="E88" s="18">
        <f>IFERROR($C88/$D88,"")</f>
        <v/>
      </c>
      <c r="F88" s="19" t="n"/>
      <c r="G88" s="19" t="n"/>
      <c r="H88" s="19" t="n"/>
      <c r="I88" s="15">
        <f>IF($A88="","",TEXT($A88,"yyyy/mm"))</f>
        <v/>
      </c>
    </row>
    <row r="89">
      <c r="A89" s="14" t="n"/>
      <c r="B89" s="15">
        <f>IF($A89="","",TEXT($A89,"aaa"))</f>
        <v/>
      </c>
      <c r="C89" s="16" t="n"/>
      <c r="D89" s="17" t="n"/>
      <c r="E89" s="18">
        <f>IFERROR($C89/$D89,"")</f>
        <v/>
      </c>
      <c r="F89" s="19" t="n"/>
      <c r="G89" s="19" t="n"/>
      <c r="H89" s="19" t="n"/>
      <c r="I89" s="15">
        <f>IF($A89="","",TEXT($A89,"yyyy/mm"))</f>
        <v/>
      </c>
    </row>
    <row r="90">
      <c r="A90" s="14" t="n"/>
      <c r="B90" s="15">
        <f>IF($A90="","",TEXT($A90,"aaa"))</f>
        <v/>
      </c>
      <c r="C90" s="16" t="n"/>
      <c r="D90" s="17" t="n"/>
      <c r="E90" s="18">
        <f>IFERROR($C90/$D90,"")</f>
        <v/>
      </c>
      <c r="F90" s="19" t="n"/>
      <c r="G90" s="19" t="n"/>
      <c r="H90" s="19" t="n"/>
      <c r="I90" s="15">
        <f>IF($A90="","",TEXT($A90,"yyyy/mm"))</f>
        <v/>
      </c>
    </row>
    <row r="91">
      <c r="A91" s="14" t="n"/>
      <c r="B91" s="15">
        <f>IF($A91="","",TEXT($A91,"aaa"))</f>
        <v/>
      </c>
      <c r="C91" s="16" t="n"/>
      <c r="D91" s="17" t="n"/>
      <c r="E91" s="18">
        <f>IFERROR($C91/$D91,"")</f>
        <v/>
      </c>
      <c r="F91" s="19" t="n"/>
      <c r="G91" s="19" t="n"/>
      <c r="H91" s="19" t="n"/>
      <c r="I91" s="15">
        <f>IF($A91="","",TEXT($A91,"yyyy/mm"))</f>
        <v/>
      </c>
    </row>
    <row r="92">
      <c r="A92" s="14" t="n"/>
      <c r="B92" s="15">
        <f>IF($A92="","",TEXT($A92,"aaa"))</f>
        <v/>
      </c>
      <c r="C92" s="16" t="n"/>
      <c r="D92" s="17" t="n"/>
      <c r="E92" s="18">
        <f>IFERROR($C92/$D92,"")</f>
        <v/>
      </c>
      <c r="F92" s="19" t="n"/>
      <c r="G92" s="19" t="n"/>
      <c r="H92" s="19" t="n"/>
      <c r="I92" s="15">
        <f>IF($A92="","",TEXT($A92,"yyyy/mm"))</f>
        <v/>
      </c>
    </row>
    <row r="93">
      <c r="A93" s="14" t="n"/>
      <c r="B93" s="15">
        <f>IF($A93="","",TEXT($A93,"aaa"))</f>
        <v/>
      </c>
      <c r="C93" s="16" t="n"/>
      <c r="D93" s="17" t="n"/>
      <c r="E93" s="18">
        <f>IFERROR($C93/$D93,"")</f>
        <v/>
      </c>
      <c r="F93" s="19" t="n"/>
      <c r="G93" s="19" t="n"/>
      <c r="H93" s="19" t="n"/>
      <c r="I93" s="15">
        <f>IF($A93="","",TEXT($A93,"yyyy/mm"))</f>
        <v/>
      </c>
    </row>
    <row r="94">
      <c r="A94" s="14" t="n"/>
      <c r="B94" s="15">
        <f>IF($A94="","",TEXT($A94,"aaa"))</f>
        <v/>
      </c>
      <c r="C94" s="16" t="n"/>
      <c r="D94" s="17" t="n"/>
      <c r="E94" s="18">
        <f>IFERROR($C94/$D94,"")</f>
        <v/>
      </c>
      <c r="F94" s="19" t="n"/>
      <c r="G94" s="19" t="n"/>
      <c r="H94" s="19" t="n"/>
      <c r="I94" s="15">
        <f>IF($A94="","",TEXT($A94,"yyyy/mm"))</f>
        <v/>
      </c>
    </row>
    <row r="95">
      <c r="A95" s="14" t="n"/>
      <c r="B95" s="15">
        <f>IF($A95="","",TEXT($A95,"aaa"))</f>
        <v/>
      </c>
      <c r="C95" s="16" t="n"/>
      <c r="D95" s="17" t="n"/>
      <c r="E95" s="18">
        <f>IFERROR($C95/$D95,"")</f>
        <v/>
      </c>
      <c r="F95" s="19" t="n"/>
      <c r="G95" s="19" t="n"/>
      <c r="H95" s="19" t="n"/>
      <c r="I95" s="15">
        <f>IF($A95="","",TEXT($A95,"yyyy/mm"))</f>
        <v/>
      </c>
    </row>
    <row r="96">
      <c r="A96" s="14" t="n"/>
      <c r="B96" s="15">
        <f>IF($A96="","",TEXT($A96,"aaa"))</f>
        <v/>
      </c>
      <c r="C96" s="16" t="n"/>
      <c r="D96" s="17" t="n"/>
      <c r="E96" s="18">
        <f>IFERROR($C96/$D96,"")</f>
        <v/>
      </c>
      <c r="F96" s="19" t="n"/>
      <c r="G96" s="19" t="n"/>
      <c r="H96" s="19" t="n"/>
      <c r="I96" s="15">
        <f>IF($A96="","",TEXT($A96,"yyyy/mm"))</f>
        <v/>
      </c>
    </row>
    <row r="97">
      <c r="A97" s="14" t="n"/>
      <c r="B97" s="15">
        <f>IF($A97="","",TEXT($A97,"aaa"))</f>
        <v/>
      </c>
      <c r="C97" s="16" t="n"/>
      <c r="D97" s="17" t="n"/>
      <c r="E97" s="18">
        <f>IFERROR($C97/$D97,"")</f>
        <v/>
      </c>
      <c r="F97" s="19" t="n"/>
      <c r="G97" s="19" t="n"/>
      <c r="H97" s="19" t="n"/>
      <c r="I97" s="15">
        <f>IF($A97="","",TEXT($A97,"yyyy/mm"))</f>
        <v/>
      </c>
    </row>
    <row r="98">
      <c r="A98" s="14" t="n"/>
      <c r="B98" s="15">
        <f>IF($A98="","",TEXT($A98,"aaa"))</f>
        <v/>
      </c>
      <c r="C98" s="16" t="n"/>
      <c r="D98" s="17" t="n"/>
      <c r="E98" s="18">
        <f>IFERROR($C98/$D98,"")</f>
        <v/>
      </c>
      <c r="F98" s="19" t="n"/>
      <c r="G98" s="19" t="n"/>
      <c r="H98" s="19" t="n"/>
      <c r="I98" s="15">
        <f>IF($A98="","",TEXT($A98,"yyyy/mm"))</f>
        <v/>
      </c>
    </row>
    <row r="99">
      <c r="A99" s="14" t="n"/>
      <c r="B99" s="15">
        <f>IF($A99="","",TEXT($A99,"aaa"))</f>
        <v/>
      </c>
      <c r="C99" s="16" t="n"/>
      <c r="D99" s="17" t="n"/>
      <c r="E99" s="18">
        <f>IFERROR($C99/$D99,"")</f>
        <v/>
      </c>
      <c r="F99" s="19" t="n"/>
      <c r="G99" s="19" t="n"/>
      <c r="H99" s="19" t="n"/>
      <c r="I99" s="15">
        <f>IF($A99="","",TEXT($A99,"yyyy/mm"))</f>
        <v/>
      </c>
    </row>
    <row r="100">
      <c r="A100" s="14" t="n"/>
      <c r="B100" s="15">
        <f>IF($A100="","",TEXT($A100,"aaa"))</f>
        <v/>
      </c>
      <c r="C100" s="16" t="n"/>
      <c r="D100" s="17" t="n"/>
      <c r="E100" s="18">
        <f>IFERROR($C100/$D100,"")</f>
        <v/>
      </c>
      <c r="F100" s="19" t="n"/>
      <c r="G100" s="19" t="n"/>
      <c r="H100" s="19" t="n"/>
      <c r="I100" s="15">
        <f>IF($A100="","",TEXT($A100,"yyyy/mm"))</f>
        <v/>
      </c>
    </row>
    <row r="101">
      <c r="A101" s="14" t="n"/>
      <c r="B101" s="15">
        <f>IF($A101="","",TEXT($A101,"aaa"))</f>
        <v/>
      </c>
      <c r="C101" s="16" t="n"/>
      <c r="D101" s="17" t="n"/>
      <c r="E101" s="18">
        <f>IFERROR($C101/$D101,"")</f>
        <v/>
      </c>
      <c r="F101" s="19" t="n"/>
      <c r="G101" s="19" t="n"/>
      <c r="H101" s="19" t="n"/>
      <c r="I101" s="15">
        <f>IF($A101="","",TEXT($A101,"yyyy/mm"))</f>
        <v/>
      </c>
    </row>
    <row r="102">
      <c r="A102" s="14" t="n"/>
      <c r="B102" s="15">
        <f>IF($A102="","",TEXT($A102,"aaa"))</f>
        <v/>
      </c>
      <c r="C102" s="16" t="n"/>
      <c r="D102" s="17" t="n"/>
      <c r="E102" s="18">
        <f>IFERROR($C102/$D102,"")</f>
        <v/>
      </c>
      <c r="F102" s="19" t="n"/>
      <c r="G102" s="19" t="n"/>
      <c r="H102" s="19" t="n"/>
      <c r="I102" s="15">
        <f>IF($A102="","",TEXT($A102,"yyyy/mm"))</f>
        <v/>
      </c>
    </row>
    <row r="103">
      <c r="A103" s="14" t="n"/>
      <c r="B103" s="15">
        <f>IF($A103="","",TEXT($A103,"aaa"))</f>
        <v/>
      </c>
      <c r="C103" s="16" t="n"/>
      <c r="D103" s="17" t="n"/>
      <c r="E103" s="18">
        <f>IFERROR($C103/$D103,"")</f>
        <v/>
      </c>
      <c r="F103" s="19" t="n"/>
      <c r="G103" s="19" t="n"/>
      <c r="H103" s="19" t="n"/>
      <c r="I103" s="15">
        <f>IF($A103="","",TEXT($A103,"yyyy/mm"))</f>
        <v/>
      </c>
    </row>
    <row r="104">
      <c r="A104" s="14" t="n"/>
      <c r="B104" s="15">
        <f>IF($A104="","",TEXT($A104,"aaa"))</f>
        <v/>
      </c>
      <c r="C104" s="16" t="n"/>
      <c r="D104" s="17" t="n"/>
      <c r="E104" s="18">
        <f>IFERROR($C104/$D104,"")</f>
        <v/>
      </c>
      <c r="F104" s="19" t="n"/>
      <c r="G104" s="19" t="n"/>
      <c r="H104" s="19" t="n"/>
      <c r="I104" s="15">
        <f>IF($A104="","",TEXT($A104,"yyyy/mm"))</f>
        <v/>
      </c>
    </row>
    <row r="105">
      <c r="A105" s="14" t="n"/>
      <c r="B105" s="15">
        <f>IF($A105="","",TEXT($A105,"aaa"))</f>
        <v/>
      </c>
      <c r="C105" s="16" t="n"/>
      <c r="D105" s="17" t="n"/>
      <c r="E105" s="18">
        <f>IFERROR($C105/$D105,"")</f>
        <v/>
      </c>
      <c r="F105" s="19" t="n"/>
      <c r="G105" s="19" t="n"/>
      <c r="H105" s="19" t="n"/>
      <c r="I105" s="15">
        <f>IF($A105="","",TEXT($A105,"yyyy/mm"))</f>
        <v/>
      </c>
    </row>
    <row r="106">
      <c r="A106" s="14" t="n"/>
      <c r="B106" s="15">
        <f>IF($A106="","",TEXT($A106,"aaa"))</f>
        <v/>
      </c>
      <c r="C106" s="16" t="n"/>
      <c r="D106" s="17" t="n"/>
      <c r="E106" s="18">
        <f>IFERROR($C106/$D106,"")</f>
        <v/>
      </c>
      <c r="F106" s="19" t="n"/>
      <c r="G106" s="19" t="n"/>
      <c r="H106" s="19" t="n"/>
      <c r="I106" s="15">
        <f>IF($A106="","",TEXT($A106,"yyyy/mm"))</f>
        <v/>
      </c>
    </row>
    <row r="107">
      <c r="A107" s="14" t="n"/>
      <c r="B107" s="15">
        <f>IF($A107="","",TEXT($A107,"aaa"))</f>
        <v/>
      </c>
      <c r="C107" s="16" t="n"/>
      <c r="D107" s="17" t="n"/>
      <c r="E107" s="18">
        <f>IFERROR($C107/$D107,"")</f>
        <v/>
      </c>
      <c r="F107" s="19" t="n"/>
      <c r="G107" s="19" t="n"/>
      <c r="H107" s="19" t="n"/>
      <c r="I107" s="15">
        <f>IF($A107="","",TEXT($A107,"yyyy/mm"))</f>
        <v/>
      </c>
    </row>
    <row r="108">
      <c r="A108" s="14" t="n"/>
      <c r="B108" s="15">
        <f>IF($A108="","",TEXT($A108,"aaa"))</f>
        <v/>
      </c>
      <c r="C108" s="16" t="n"/>
      <c r="D108" s="17" t="n"/>
      <c r="E108" s="18">
        <f>IFERROR($C108/$D108,"")</f>
        <v/>
      </c>
      <c r="F108" s="19" t="n"/>
      <c r="G108" s="19" t="n"/>
      <c r="H108" s="19" t="n"/>
      <c r="I108" s="15">
        <f>IF($A108="","",TEXT($A108,"yyyy/mm"))</f>
        <v/>
      </c>
    </row>
    <row r="109">
      <c r="A109" s="14" t="n"/>
      <c r="B109" s="15">
        <f>IF($A109="","",TEXT($A109,"aaa"))</f>
        <v/>
      </c>
      <c r="C109" s="16" t="n"/>
      <c r="D109" s="17" t="n"/>
      <c r="E109" s="18">
        <f>IFERROR($C109/$D109,"")</f>
        <v/>
      </c>
      <c r="F109" s="19" t="n"/>
      <c r="G109" s="19" t="n"/>
      <c r="H109" s="19" t="n"/>
      <c r="I109" s="15">
        <f>IF($A109="","",TEXT($A109,"yyyy/mm"))</f>
        <v/>
      </c>
    </row>
    <row r="110">
      <c r="A110" s="14" t="n"/>
      <c r="B110" s="15">
        <f>IF($A110="","",TEXT($A110,"aaa"))</f>
        <v/>
      </c>
      <c r="C110" s="16" t="n"/>
      <c r="D110" s="17" t="n"/>
      <c r="E110" s="18">
        <f>IFERROR($C110/$D110,"")</f>
        <v/>
      </c>
      <c r="F110" s="19" t="n"/>
      <c r="G110" s="19" t="n"/>
      <c r="H110" s="19" t="n"/>
      <c r="I110" s="15">
        <f>IF($A110="","",TEXT($A110,"yyyy/mm"))</f>
        <v/>
      </c>
    </row>
    <row r="111">
      <c r="A111" s="14" t="n"/>
      <c r="B111" s="15">
        <f>IF($A111="","",TEXT($A111,"aaa"))</f>
        <v/>
      </c>
      <c r="C111" s="16" t="n"/>
      <c r="D111" s="17" t="n"/>
      <c r="E111" s="18">
        <f>IFERROR($C111/$D111,"")</f>
        <v/>
      </c>
      <c r="F111" s="19" t="n"/>
      <c r="G111" s="19" t="n"/>
      <c r="H111" s="19" t="n"/>
      <c r="I111" s="15">
        <f>IF($A111="","",TEXT($A111,"yyyy/mm"))</f>
        <v/>
      </c>
    </row>
    <row r="112">
      <c r="A112" s="14" t="n"/>
      <c r="B112" s="15">
        <f>IF($A112="","",TEXT($A112,"aaa"))</f>
        <v/>
      </c>
      <c r="C112" s="16" t="n"/>
      <c r="D112" s="17" t="n"/>
      <c r="E112" s="18">
        <f>IFERROR($C112/$D112,"")</f>
        <v/>
      </c>
      <c r="F112" s="19" t="n"/>
      <c r="G112" s="19" t="n"/>
      <c r="H112" s="19" t="n"/>
      <c r="I112" s="15">
        <f>IF($A112="","",TEXT($A112,"yyyy/mm"))</f>
        <v/>
      </c>
    </row>
    <row r="113">
      <c r="A113" s="14" t="n"/>
      <c r="B113" s="15">
        <f>IF($A113="","",TEXT($A113,"aaa"))</f>
        <v/>
      </c>
      <c r="C113" s="16" t="n"/>
      <c r="D113" s="17" t="n"/>
      <c r="E113" s="18">
        <f>IFERROR($C113/$D113,"")</f>
        <v/>
      </c>
      <c r="F113" s="19" t="n"/>
      <c r="G113" s="19" t="n"/>
      <c r="H113" s="19" t="n"/>
      <c r="I113" s="15">
        <f>IF($A113="","",TEXT($A113,"yyyy/mm"))</f>
        <v/>
      </c>
    </row>
    <row r="114">
      <c r="A114" s="14" t="n"/>
      <c r="B114" s="15">
        <f>IF($A114="","",TEXT($A114,"aaa"))</f>
        <v/>
      </c>
      <c r="C114" s="16" t="n"/>
      <c r="D114" s="17" t="n"/>
      <c r="E114" s="18">
        <f>IFERROR($C114/$D114,"")</f>
        <v/>
      </c>
      <c r="F114" s="19" t="n"/>
      <c r="G114" s="19" t="n"/>
      <c r="H114" s="19" t="n"/>
      <c r="I114" s="15">
        <f>IF($A114="","",TEXT($A114,"yyyy/mm"))</f>
        <v/>
      </c>
    </row>
    <row r="115">
      <c r="A115" s="14" t="n"/>
      <c r="B115" s="15">
        <f>IF($A115="","",TEXT($A115,"aaa"))</f>
        <v/>
      </c>
      <c r="C115" s="16" t="n"/>
      <c r="D115" s="17" t="n"/>
      <c r="E115" s="18">
        <f>IFERROR($C115/$D115,"")</f>
        <v/>
      </c>
      <c r="F115" s="19" t="n"/>
      <c r="G115" s="19" t="n"/>
      <c r="H115" s="19" t="n"/>
      <c r="I115" s="15">
        <f>IF($A115="","",TEXT($A115,"yyyy/mm"))</f>
        <v/>
      </c>
    </row>
    <row r="116">
      <c r="A116" s="14" t="n"/>
      <c r="B116" s="15">
        <f>IF($A116="","",TEXT($A116,"aaa"))</f>
        <v/>
      </c>
      <c r="C116" s="16" t="n"/>
      <c r="D116" s="17" t="n"/>
      <c r="E116" s="18">
        <f>IFERROR($C116/$D116,"")</f>
        <v/>
      </c>
      <c r="F116" s="19" t="n"/>
      <c r="G116" s="19" t="n"/>
      <c r="H116" s="19" t="n"/>
      <c r="I116" s="15">
        <f>IF($A116="","",TEXT($A116,"yyyy/mm"))</f>
        <v/>
      </c>
    </row>
    <row r="117">
      <c r="A117" s="14" t="n"/>
      <c r="B117" s="15">
        <f>IF($A117="","",TEXT($A117,"aaa"))</f>
        <v/>
      </c>
      <c r="C117" s="16" t="n"/>
      <c r="D117" s="17" t="n"/>
      <c r="E117" s="18">
        <f>IFERROR($C117/$D117,"")</f>
        <v/>
      </c>
      <c r="F117" s="19" t="n"/>
      <c r="G117" s="19" t="n"/>
      <c r="H117" s="19" t="n"/>
      <c r="I117" s="15">
        <f>IF($A117="","",TEXT($A117,"yyyy/mm"))</f>
        <v/>
      </c>
    </row>
    <row r="118">
      <c r="A118" s="14" t="n"/>
      <c r="B118" s="15">
        <f>IF($A118="","",TEXT($A118,"aaa"))</f>
        <v/>
      </c>
      <c r="C118" s="16" t="n"/>
      <c r="D118" s="17" t="n"/>
      <c r="E118" s="18">
        <f>IFERROR($C118/$D118,"")</f>
        <v/>
      </c>
      <c r="F118" s="19" t="n"/>
      <c r="G118" s="19" t="n"/>
      <c r="H118" s="19" t="n"/>
      <c r="I118" s="15">
        <f>IF($A118="","",TEXT($A118,"yyyy/mm"))</f>
        <v/>
      </c>
    </row>
    <row r="119">
      <c r="A119" s="14" t="n"/>
      <c r="B119" s="15">
        <f>IF($A119="","",TEXT($A119,"aaa"))</f>
        <v/>
      </c>
      <c r="C119" s="16" t="n"/>
      <c r="D119" s="17" t="n"/>
      <c r="E119" s="18">
        <f>IFERROR($C119/$D119,"")</f>
        <v/>
      </c>
      <c r="F119" s="19" t="n"/>
      <c r="G119" s="19" t="n"/>
      <c r="H119" s="19" t="n"/>
      <c r="I119" s="15">
        <f>IF($A119="","",TEXT($A119,"yyyy/mm"))</f>
        <v/>
      </c>
    </row>
    <row r="120">
      <c r="A120" s="14" t="n"/>
      <c r="B120" s="15">
        <f>IF($A120="","",TEXT($A120,"aaa"))</f>
        <v/>
      </c>
      <c r="C120" s="16" t="n"/>
      <c r="D120" s="17" t="n"/>
      <c r="E120" s="18">
        <f>IFERROR($C120/$D120,"")</f>
        <v/>
      </c>
      <c r="F120" s="19" t="n"/>
      <c r="G120" s="19" t="n"/>
      <c r="H120" s="19" t="n"/>
      <c r="I120" s="15">
        <f>IF($A120="","",TEXT($A120,"yyyy/mm"))</f>
        <v/>
      </c>
    </row>
    <row r="121">
      <c r="A121" s="14" t="n"/>
      <c r="B121" s="15">
        <f>IF($A121="","",TEXT($A121,"aaa"))</f>
        <v/>
      </c>
      <c r="C121" s="16" t="n"/>
      <c r="D121" s="17" t="n"/>
      <c r="E121" s="18">
        <f>IFERROR($C121/$D121,"")</f>
        <v/>
      </c>
      <c r="F121" s="19" t="n"/>
      <c r="G121" s="19" t="n"/>
      <c r="H121" s="19" t="n"/>
      <c r="I121" s="15">
        <f>IF($A121="","",TEXT($A121,"yyyy/mm"))</f>
        <v/>
      </c>
    </row>
    <row r="122">
      <c r="A122" s="14" t="n"/>
      <c r="B122" s="15">
        <f>IF($A122="","",TEXT($A122,"aaa"))</f>
        <v/>
      </c>
      <c r="C122" s="16" t="n"/>
      <c r="D122" s="17" t="n"/>
      <c r="E122" s="18">
        <f>IFERROR($C122/$D122,"")</f>
        <v/>
      </c>
      <c r="F122" s="19" t="n"/>
      <c r="G122" s="19" t="n"/>
      <c r="H122" s="19" t="n"/>
      <c r="I122" s="15">
        <f>IF($A122="","",TEXT($A122,"yyyy/mm"))</f>
        <v/>
      </c>
    </row>
    <row r="123">
      <c r="A123" s="14" t="n"/>
      <c r="B123" s="15">
        <f>IF($A123="","",TEXT($A123,"aaa"))</f>
        <v/>
      </c>
      <c r="C123" s="16" t="n"/>
      <c r="D123" s="17" t="n"/>
      <c r="E123" s="18">
        <f>IFERROR($C123/$D123,"")</f>
        <v/>
      </c>
      <c r="F123" s="19" t="n"/>
      <c r="G123" s="19" t="n"/>
      <c r="H123" s="19" t="n"/>
      <c r="I123" s="15">
        <f>IF($A123="","",TEXT($A123,"yyyy/mm"))</f>
        <v/>
      </c>
    </row>
    <row r="124">
      <c r="A124" s="14" t="n"/>
      <c r="B124" s="15">
        <f>IF($A124="","",TEXT($A124,"aaa"))</f>
        <v/>
      </c>
      <c r="C124" s="16" t="n"/>
      <c r="D124" s="17" t="n"/>
      <c r="E124" s="18">
        <f>IFERROR($C124/$D124,"")</f>
        <v/>
      </c>
      <c r="F124" s="19" t="n"/>
      <c r="G124" s="19" t="n"/>
      <c r="H124" s="19" t="n"/>
      <c r="I124" s="15">
        <f>IF($A124="","",TEXT($A124,"yyyy/mm"))</f>
        <v/>
      </c>
    </row>
    <row r="125">
      <c r="A125" s="14" t="n"/>
      <c r="B125" s="15">
        <f>IF($A125="","",TEXT($A125,"aaa"))</f>
        <v/>
      </c>
      <c r="C125" s="16" t="n"/>
      <c r="D125" s="17" t="n"/>
      <c r="E125" s="18">
        <f>IFERROR($C125/$D125,"")</f>
        <v/>
      </c>
      <c r="F125" s="19" t="n"/>
      <c r="G125" s="19" t="n"/>
      <c r="H125" s="19" t="n"/>
      <c r="I125" s="15">
        <f>IF($A125="","",TEXT($A125,"yyyy/mm"))</f>
        <v/>
      </c>
    </row>
    <row r="126">
      <c r="A126" s="14" t="n"/>
      <c r="B126" s="15">
        <f>IF($A126="","",TEXT($A126,"aaa"))</f>
        <v/>
      </c>
      <c r="C126" s="16" t="n"/>
      <c r="D126" s="17" t="n"/>
      <c r="E126" s="18">
        <f>IFERROR($C126/$D126,"")</f>
        <v/>
      </c>
      <c r="F126" s="19" t="n"/>
      <c r="G126" s="19" t="n"/>
      <c r="H126" s="19" t="n"/>
      <c r="I126" s="15">
        <f>IF($A126="","",TEXT($A126,"yyyy/mm"))</f>
        <v/>
      </c>
    </row>
    <row r="127">
      <c r="A127" s="14" t="n"/>
      <c r="B127" s="15">
        <f>IF($A127="","",TEXT($A127,"aaa"))</f>
        <v/>
      </c>
      <c r="C127" s="16" t="n"/>
      <c r="D127" s="17" t="n"/>
      <c r="E127" s="18">
        <f>IFERROR($C127/$D127,"")</f>
        <v/>
      </c>
      <c r="F127" s="19" t="n"/>
      <c r="G127" s="19" t="n"/>
      <c r="H127" s="19" t="n"/>
      <c r="I127" s="15">
        <f>IF($A127="","",TEXT($A127,"yyyy/mm"))</f>
        <v/>
      </c>
    </row>
    <row r="128">
      <c r="A128" s="14" t="n"/>
      <c r="B128" s="15">
        <f>IF($A128="","",TEXT($A128,"aaa"))</f>
        <v/>
      </c>
      <c r="C128" s="16" t="n"/>
      <c r="D128" s="17" t="n"/>
      <c r="E128" s="18">
        <f>IFERROR($C128/$D128,"")</f>
        <v/>
      </c>
      <c r="F128" s="19" t="n"/>
      <c r="G128" s="19" t="n"/>
      <c r="H128" s="19" t="n"/>
      <c r="I128" s="15">
        <f>IF($A128="","",TEXT($A128,"yyyy/mm"))</f>
        <v/>
      </c>
    </row>
    <row r="129">
      <c r="A129" s="14" t="n"/>
      <c r="B129" s="15">
        <f>IF($A129="","",TEXT($A129,"aaa"))</f>
        <v/>
      </c>
      <c r="C129" s="16" t="n"/>
      <c r="D129" s="17" t="n"/>
      <c r="E129" s="18">
        <f>IFERROR($C129/$D129,"")</f>
        <v/>
      </c>
      <c r="F129" s="19" t="n"/>
      <c r="G129" s="19" t="n"/>
      <c r="H129" s="19" t="n"/>
      <c r="I129" s="15">
        <f>IF($A129="","",TEXT($A129,"yyyy/mm"))</f>
        <v/>
      </c>
    </row>
    <row r="130">
      <c r="A130" s="14" t="n"/>
      <c r="B130" s="15">
        <f>IF($A130="","",TEXT($A130,"aaa"))</f>
        <v/>
      </c>
      <c r="C130" s="16" t="n"/>
      <c r="D130" s="17" t="n"/>
      <c r="E130" s="18">
        <f>IFERROR($C130/$D130,"")</f>
        <v/>
      </c>
      <c r="F130" s="19" t="n"/>
      <c r="G130" s="19" t="n"/>
      <c r="H130" s="19" t="n"/>
      <c r="I130" s="15">
        <f>IF($A130="","",TEXT($A130,"yyyy/mm"))</f>
        <v/>
      </c>
    </row>
    <row r="131">
      <c r="A131" s="14" t="n"/>
      <c r="B131" s="15">
        <f>IF($A131="","",TEXT($A131,"aaa"))</f>
        <v/>
      </c>
      <c r="C131" s="16" t="n"/>
      <c r="D131" s="17" t="n"/>
      <c r="E131" s="18">
        <f>IFERROR($C131/$D131,"")</f>
        <v/>
      </c>
      <c r="F131" s="19" t="n"/>
      <c r="G131" s="19" t="n"/>
      <c r="H131" s="19" t="n"/>
      <c r="I131" s="15">
        <f>IF($A131="","",TEXT($A131,"yyyy/mm"))</f>
        <v/>
      </c>
    </row>
    <row r="132">
      <c r="A132" s="14" t="n"/>
      <c r="B132" s="15">
        <f>IF($A132="","",TEXT($A132,"aaa"))</f>
        <v/>
      </c>
      <c r="C132" s="16" t="n"/>
      <c r="D132" s="17" t="n"/>
      <c r="E132" s="18">
        <f>IFERROR($C132/$D132,"")</f>
        <v/>
      </c>
      <c r="F132" s="19" t="n"/>
      <c r="G132" s="19" t="n"/>
      <c r="H132" s="19" t="n"/>
      <c r="I132" s="15">
        <f>IF($A132="","",TEXT($A132,"yyyy/mm"))</f>
        <v/>
      </c>
    </row>
    <row r="133">
      <c r="A133" s="14" t="n"/>
      <c r="B133" s="15">
        <f>IF($A133="","",TEXT($A133,"aaa"))</f>
        <v/>
      </c>
      <c r="C133" s="16" t="n"/>
      <c r="D133" s="17" t="n"/>
      <c r="E133" s="18">
        <f>IFERROR($C133/$D133,"")</f>
        <v/>
      </c>
      <c r="F133" s="19" t="n"/>
      <c r="G133" s="19" t="n"/>
      <c r="H133" s="19" t="n"/>
      <c r="I133" s="15">
        <f>IF($A133="","",TEXT($A133,"yyyy/mm"))</f>
        <v/>
      </c>
    </row>
    <row r="134">
      <c r="A134" s="14" t="n"/>
      <c r="B134" s="15">
        <f>IF($A134="","",TEXT($A134,"aaa"))</f>
        <v/>
      </c>
      <c r="C134" s="16" t="n"/>
      <c r="D134" s="17" t="n"/>
      <c r="E134" s="18">
        <f>IFERROR($C134/$D134,"")</f>
        <v/>
      </c>
      <c r="F134" s="19" t="n"/>
      <c r="G134" s="19" t="n"/>
      <c r="H134" s="19" t="n"/>
      <c r="I134" s="15">
        <f>IF($A134="","",TEXT($A134,"yyyy/mm"))</f>
        <v/>
      </c>
    </row>
    <row r="135">
      <c r="A135" s="14" t="n"/>
      <c r="B135" s="15">
        <f>IF($A135="","",TEXT($A135,"aaa"))</f>
        <v/>
      </c>
      <c r="C135" s="16" t="n"/>
      <c r="D135" s="17" t="n"/>
      <c r="E135" s="18">
        <f>IFERROR($C135/$D135,"")</f>
        <v/>
      </c>
      <c r="F135" s="19" t="n"/>
      <c r="G135" s="19" t="n"/>
      <c r="H135" s="19" t="n"/>
      <c r="I135" s="15">
        <f>IF($A135="","",TEXT($A135,"yyyy/mm"))</f>
        <v/>
      </c>
    </row>
    <row r="136">
      <c r="A136" s="14" t="n"/>
      <c r="B136" s="15">
        <f>IF($A136="","",TEXT($A136,"aaa"))</f>
        <v/>
      </c>
      <c r="C136" s="16" t="n"/>
      <c r="D136" s="17" t="n"/>
      <c r="E136" s="18">
        <f>IFERROR($C136/$D136,"")</f>
        <v/>
      </c>
      <c r="F136" s="19" t="n"/>
      <c r="G136" s="19" t="n"/>
      <c r="H136" s="19" t="n"/>
      <c r="I136" s="15">
        <f>IF($A136="","",TEXT($A136,"yyyy/mm"))</f>
        <v/>
      </c>
    </row>
    <row r="137">
      <c r="A137" s="14" t="n"/>
      <c r="B137" s="15">
        <f>IF($A137="","",TEXT($A137,"aaa"))</f>
        <v/>
      </c>
      <c r="C137" s="16" t="n"/>
      <c r="D137" s="17" t="n"/>
      <c r="E137" s="18">
        <f>IFERROR($C137/$D137,"")</f>
        <v/>
      </c>
      <c r="F137" s="19" t="n"/>
      <c r="G137" s="19" t="n"/>
      <c r="H137" s="19" t="n"/>
      <c r="I137" s="15">
        <f>IF($A137="","",TEXT($A137,"yyyy/mm"))</f>
        <v/>
      </c>
    </row>
    <row r="138">
      <c r="A138" s="14" t="n"/>
      <c r="B138" s="15">
        <f>IF($A138="","",TEXT($A138,"aaa"))</f>
        <v/>
      </c>
      <c r="C138" s="16" t="n"/>
      <c r="D138" s="17" t="n"/>
      <c r="E138" s="18">
        <f>IFERROR($C138/$D138,"")</f>
        <v/>
      </c>
      <c r="F138" s="19" t="n"/>
      <c r="G138" s="19" t="n"/>
      <c r="H138" s="19" t="n"/>
      <c r="I138" s="15">
        <f>IF($A138="","",TEXT($A138,"yyyy/mm"))</f>
        <v/>
      </c>
    </row>
    <row r="139">
      <c r="A139" s="14" t="n"/>
      <c r="B139" s="15">
        <f>IF($A139="","",TEXT($A139,"aaa"))</f>
        <v/>
      </c>
      <c r="C139" s="16" t="n"/>
      <c r="D139" s="17" t="n"/>
      <c r="E139" s="18">
        <f>IFERROR($C139/$D139,"")</f>
        <v/>
      </c>
      <c r="F139" s="19" t="n"/>
      <c r="G139" s="19" t="n"/>
      <c r="H139" s="19" t="n"/>
      <c r="I139" s="15">
        <f>IF($A139="","",TEXT($A139,"yyyy/mm"))</f>
        <v/>
      </c>
    </row>
    <row r="140">
      <c r="A140" s="14" t="n"/>
      <c r="B140" s="15">
        <f>IF($A140="","",TEXT($A140,"aaa"))</f>
        <v/>
      </c>
      <c r="C140" s="16" t="n"/>
      <c r="D140" s="17" t="n"/>
      <c r="E140" s="18">
        <f>IFERROR($C140/$D140,"")</f>
        <v/>
      </c>
      <c r="F140" s="19" t="n"/>
      <c r="G140" s="19" t="n"/>
      <c r="H140" s="19" t="n"/>
      <c r="I140" s="15">
        <f>IF($A140="","",TEXT($A140,"yyyy/mm"))</f>
        <v/>
      </c>
    </row>
    <row r="141">
      <c r="A141" s="14" t="n"/>
      <c r="B141" s="15">
        <f>IF($A141="","",TEXT($A141,"aaa"))</f>
        <v/>
      </c>
      <c r="C141" s="16" t="n"/>
      <c r="D141" s="17" t="n"/>
      <c r="E141" s="18">
        <f>IFERROR($C141/$D141,"")</f>
        <v/>
      </c>
      <c r="F141" s="19" t="n"/>
      <c r="G141" s="19" t="n"/>
      <c r="H141" s="19" t="n"/>
      <c r="I141" s="15">
        <f>IF($A141="","",TEXT($A141,"yyyy/mm"))</f>
        <v/>
      </c>
    </row>
    <row r="142">
      <c r="A142" s="14" t="n"/>
      <c r="B142" s="15">
        <f>IF($A142="","",TEXT($A142,"aaa"))</f>
        <v/>
      </c>
      <c r="C142" s="16" t="n"/>
      <c r="D142" s="17" t="n"/>
      <c r="E142" s="18">
        <f>IFERROR($C142/$D142,"")</f>
        <v/>
      </c>
      <c r="F142" s="19" t="n"/>
      <c r="G142" s="19" t="n"/>
      <c r="H142" s="19" t="n"/>
      <c r="I142" s="15">
        <f>IF($A142="","",TEXT($A142,"yyyy/mm"))</f>
        <v/>
      </c>
    </row>
    <row r="143">
      <c r="A143" s="14" t="n"/>
      <c r="B143" s="15">
        <f>IF($A143="","",TEXT($A143,"aaa"))</f>
        <v/>
      </c>
      <c r="C143" s="16" t="n"/>
      <c r="D143" s="17" t="n"/>
      <c r="E143" s="18">
        <f>IFERROR($C143/$D143,"")</f>
        <v/>
      </c>
      <c r="F143" s="19" t="n"/>
      <c r="G143" s="19" t="n"/>
      <c r="H143" s="19" t="n"/>
      <c r="I143" s="15">
        <f>IF($A143="","",TEXT($A143,"yyyy/mm"))</f>
        <v/>
      </c>
    </row>
    <row r="144">
      <c r="A144" s="14" t="n"/>
      <c r="B144" s="15">
        <f>IF($A144="","",TEXT($A144,"aaa"))</f>
        <v/>
      </c>
      <c r="C144" s="16" t="n"/>
      <c r="D144" s="17" t="n"/>
      <c r="E144" s="18">
        <f>IFERROR($C144/$D144,"")</f>
        <v/>
      </c>
      <c r="F144" s="19" t="n"/>
      <c r="G144" s="19" t="n"/>
      <c r="H144" s="19" t="n"/>
      <c r="I144" s="15">
        <f>IF($A144="","",TEXT($A144,"yyyy/mm"))</f>
        <v/>
      </c>
    </row>
    <row r="145">
      <c r="A145" s="14" t="n"/>
      <c r="B145" s="15">
        <f>IF($A145="","",TEXT($A145,"aaa"))</f>
        <v/>
      </c>
      <c r="C145" s="16" t="n"/>
      <c r="D145" s="17" t="n"/>
      <c r="E145" s="18">
        <f>IFERROR($C145/$D145,"")</f>
        <v/>
      </c>
      <c r="F145" s="19" t="n"/>
      <c r="G145" s="19" t="n"/>
      <c r="H145" s="19" t="n"/>
      <c r="I145" s="15">
        <f>IF($A145="","",TEXT($A145,"yyyy/mm"))</f>
        <v/>
      </c>
    </row>
    <row r="146">
      <c r="A146" s="14" t="n"/>
      <c r="B146" s="15">
        <f>IF($A146="","",TEXT($A146,"aaa"))</f>
        <v/>
      </c>
      <c r="C146" s="16" t="n"/>
      <c r="D146" s="17" t="n"/>
      <c r="E146" s="18">
        <f>IFERROR($C146/$D146,"")</f>
        <v/>
      </c>
      <c r="F146" s="19" t="n"/>
      <c r="G146" s="19" t="n"/>
      <c r="H146" s="19" t="n"/>
      <c r="I146" s="15">
        <f>IF($A146="","",TEXT($A146,"yyyy/mm"))</f>
        <v/>
      </c>
    </row>
    <row r="147">
      <c r="A147" s="14" t="n"/>
      <c r="B147" s="15">
        <f>IF($A147="","",TEXT($A147,"aaa"))</f>
        <v/>
      </c>
      <c r="C147" s="16" t="n"/>
      <c r="D147" s="17" t="n"/>
      <c r="E147" s="18">
        <f>IFERROR($C147/$D147,"")</f>
        <v/>
      </c>
      <c r="F147" s="19" t="n"/>
      <c r="G147" s="19" t="n"/>
      <c r="H147" s="19" t="n"/>
      <c r="I147" s="15">
        <f>IF($A147="","",TEXT($A147,"yyyy/mm"))</f>
        <v/>
      </c>
    </row>
    <row r="148">
      <c r="A148" s="14" t="n"/>
      <c r="B148" s="15">
        <f>IF($A148="","",TEXT($A148,"aaa"))</f>
        <v/>
      </c>
      <c r="C148" s="16" t="n"/>
      <c r="D148" s="17" t="n"/>
      <c r="E148" s="18">
        <f>IFERROR($C148/$D148,"")</f>
        <v/>
      </c>
      <c r="F148" s="19" t="n"/>
      <c r="G148" s="19" t="n"/>
      <c r="H148" s="19" t="n"/>
      <c r="I148" s="15">
        <f>IF($A148="","",TEXT($A148,"yyyy/mm"))</f>
        <v/>
      </c>
    </row>
    <row r="149">
      <c r="A149" s="14" t="n"/>
      <c r="B149" s="15">
        <f>IF($A149="","",TEXT($A149,"aaa"))</f>
        <v/>
      </c>
      <c r="C149" s="16" t="n"/>
      <c r="D149" s="17" t="n"/>
      <c r="E149" s="18">
        <f>IFERROR($C149/$D149,"")</f>
        <v/>
      </c>
      <c r="F149" s="19" t="n"/>
      <c r="G149" s="19" t="n"/>
      <c r="H149" s="19" t="n"/>
      <c r="I149" s="15">
        <f>IF($A149="","",TEXT($A149,"yyyy/mm"))</f>
        <v/>
      </c>
    </row>
    <row r="150">
      <c r="A150" s="14" t="n"/>
      <c r="B150" s="15">
        <f>IF($A150="","",TEXT($A150,"aaa"))</f>
        <v/>
      </c>
      <c r="C150" s="16" t="n"/>
      <c r="D150" s="17" t="n"/>
      <c r="E150" s="18">
        <f>IFERROR($C150/$D150,"")</f>
        <v/>
      </c>
      <c r="F150" s="19" t="n"/>
      <c r="G150" s="19" t="n"/>
      <c r="H150" s="19" t="n"/>
      <c r="I150" s="15">
        <f>IF($A150="","",TEXT($A150,"yyyy/mm"))</f>
        <v/>
      </c>
    </row>
    <row r="151">
      <c r="A151" s="14" t="n"/>
      <c r="B151" s="15">
        <f>IF($A151="","",TEXT($A151,"aaa"))</f>
        <v/>
      </c>
      <c r="C151" s="16" t="n"/>
      <c r="D151" s="17" t="n"/>
      <c r="E151" s="18">
        <f>IFERROR($C151/$D151,"")</f>
        <v/>
      </c>
      <c r="F151" s="19" t="n"/>
      <c r="G151" s="19" t="n"/>
      <c r="H151" s="19" t="n"/>
      <c r="I151" s="15">
        <f>IF($A151="","",TEXT($A151,"yyyy/mm"))</f>
        <v/>
      </c>
    </row>
    <row r="152">
      <c r="A152" s="14" t="n"/>
      <c r="B152" s="15">
        <f>IF($A152="","",TEXT($A152,"aaa"))</f>
        <v/>
      </c>
      <c r="C152" s="16" t="n"/>
      <c r="D152" s="17" t="n"/>
      <c r="E152" s="18">
        <f>IFERROR($C152/$D152,"")</f>
        <v/>
      </c>
      <c r="F152" s="19" t="n"/>
      <c r="G152" s="19" t="n"/>
      <c r="H152" s="19" t="n"/>
      <c r="I152" s="15">
        <f>IF($A152="","",TEXT($A152,"yyyy/mm"))</f>
        <v/>
      </c>
    </row>
    <row r="153">
      <c r="A153" s="14" t="n"/>
      <c r="B153" s="15">
        <f>IF($A153="","",TEXT($A153,"aaa"))</f>
        <v/>
      </c>
      <c r="C153" s="16" t="n"/>
      <c r="D153" s="17" t="n"/>
      <c r="E153" s="18">
        <f>IFERROR($C153/$D153,"")</f>
        <v/>
      </c>
      <c r="F153" s="19" t="n"/>
      <c r="G153" s="19" t="n"/>
      <c r="H153" s="19" t="n"/>
      <c r="I153" s="15">
        <f>IF($A153="","",TEXT($A153,"yyyy/mm"))</f>
        <v/>
      </c>
    </row>
    <row r="154">
      <c r="A154" s="14" t="n"/>
      <c r="B154" s="15">
        <f>IF($A154="","",TEXT($A154,"aaa"))</f>
        <v/>
      </c>
      <c r="C154" s="16" t="n"/>
      <c r="D154" s="17" t="n"/>
      <c r="E154" s="18">
        <f>IFERROR($C154/$D154,"")</f>
        <v/>
      </c>
      <c r="F154" s="19" t="n"/>
      <c r="G154" s="19" t="n"/>
      <c r="H154" s="19" t="n"/>
      <c r="I154" s="15">
        <f>IF($A154="","",TEXT($A154,"yyyy/mm"))</f>
        <v/>
      </c>
    </row>
    <row r="155">
      <c r="A155" s="14" t="n"/>
      <c r="B155" s="15">
        <f>IF($A155="","",TEXT($A155,"aaa"))</f>
        <v/>
      </c>
      <c r="C155" s="16" t="n"/>
      <c r="D155" s="17" t="n"/>
      <c r="E155" s="18">
        <f>IFERROR($C155/$D155,"")</f>
        <v/>
      </c>
      <c r="F155" s="19" t="n"/>
      <c r="G155" s="19" t="n"/>
      <c r="H155" s="19" t="n"/>
      <c r="I155" s="15">
        <f>IF($A155="","",TEXT($A155,"yyyy/mm"))</f>
        <v/>
      </c>
    </row>
    <row r="156">
      <c r="A156" s="14" t="n"/>
      <c r="B156" s="15">
        <f>IF($A156="","",TEXT($A156,"aaa"))</f>
        <v/>
      </c>
      <c r="C156" s="16" t="n"/>
      <c r="D156" s="17" t="n"/>
      <c r="E156" s="18">
        <f>IFERROR($C156/$D156,"")</f>
        <v/>
      </c>
      <c r="F156" s="19" t="n"/>
      <c r="G156" s="19" t="n"/>
      <c r="H156" s="19" t="n"/>
      <c r="I156" s="15">
        <f>IF($A156="","",TEXT($A156,"yyyy/mm"))</f>
        <v/>
      </c>
    </row>
    <row r="157">
      <c r="A157" s="14" t="n"/>
      <c r="B157" s="15">
        <f>IF($A157="","",TEXT($A157,"aaa"))</f>
        <v/>
      </c>
      <c r="C157" s="16" t="n"/>
      <c r="D157" s="17" t="n"/>
      <c r="E157" s="18">
        <f>IFERROR($C157/$D157,"")</f>
        <v/>
      </c>
      <c r="F157" s="19" t="n"/>
      <c r="G157" s="19" t="n"/>
      <c r="H157" s="19" t="n"/>
      <c r="I157" s="15">
        <f>IF($A157="","",TEXT($A157,"yyyy/mm"))</f>
        <v/>
      </c>
    </row>
    <row r="158">
      <c r="A158" s="14" t="n"/>
      <c r="B158" s="15">
        <f>IF($A158="","",TEXT($A158,"aaa"))</f>
        <v/>
      </c>
      <c r="C158" s="16" t="n"/>
      <c r="D158" s="17" t="n"/>
      <c r="E158" s="18">
        <f>IFERROR($C158/$D158,"")</f>
        <v/>
      </c>
      <c r="F158" s="19" t="n"/>
      <c r="G158" s="19" t="n"/>
      <c r="H158" s="19" t="n"/>
      <c r="I158" s="15">
        <f>IF($A158="","",TEXT($A158,"yyyy/mm"))</f>
        <v/>
      </c>
    </row>
    <row r="159">
      <c r="A159" s="14" t="n"/>
      <c r="B159" s="15">
        <f>IF($A159="","",TEXT($A159,"aaa"))</f>
        <v/>
      </c>
      <c r="C159" s="16" t="n"/>
      <c r="D159" s="17" t="n"/>
      <c r="E159" s="18">
        <f>IFERROR($C159/$D159,"")</f>
        <v/>
      </c>
      <c r="F159" s="19" t="n"/>
      <c r="G159" s="19" t="n"/>
      <c r="H159" s="19" t="n"/>
      <c r="I159" s="15">
        <f>IF($A159="","",TEXT($A159,"yyyy/mm"))</f>
        <v/>
      </c>
    </row>
    <row r="160">
      <c r="A160" s="14" t="n"/>
      <c r="B160" s="15">
        <f>IF($A160="","",TEXT($A160,"aaa"))</f>
        <v/>
      </c>
      <c r="C160" s="16" t="n"/>
      <c r="D160" s="17" t="n"/>
      <c r="E160" s="18">
        <f>IFERROR($C160/$D160,"")</f>
        <v/>
      </c>
      <c r="F160" s="19" t="n"/>
      <c r="G160" s="19" t="n"/>
      <c r="H160" s="19" t="n"/>
      <c r="I160" s="15">
        <f>IF($A160="","",TEXT($A160,"yyyy/mm"))</f>
        <v/>
      </c>
    </row>
    <row r="161">
      <c r="A161" s="14" t="n"/>
      <c r="B161" s="15">
        <f>IF($A161="","",TEXT($A161,"aaa"))</f>
        <v/>
      </c>
      <c r="C161" s="16" t="n"/>
      <c r="D161" s="17" t="n"/>
      <c r="E161" s="18">
        <f>IFERROR($C161/$D161,"")</f>
        <v/>
      </c>
      <c r="F161" s="19" t="n"/>
      <c r="G161" s="19" t="n"/>
      <c r="H161" s="19" t="n"/>
      <c r="I161" s="15">
        <f>IF($A161="","",TEXT($A161,"yyyy/mm"))</f>
        <v/>
      </c>
    </row>
    <row r="162">
      <c r="A162" s="14" t="n"/>
      <c r="B162" s="15">
        <f>IF($A162="","",TEXT($A162,"aaa"))</f>
        <v/>
      </c>
      <c r="C162" s="16" t="n"/>
      <c r="D162" s="17" t="n"/>
      <c r="E162" s="18">
        <f>IFERROR($C162/$D162,"")</f>
        <v/>
      </c>
      <c r="F162" s="19" t="n"/>
      <c r="G162" s="19" t="n"/>
      <c r="H162" s="19" t="n"/>
      <c r="I162" s="15">
        <f>IF($A162="","",TEXT($A162,"yyyy/mm"))</f>
        <v/>
      </c>
    </row>
    <row r="163">
      <c r="A163" s="14" t="n"/>
      <c r="B163" s="15">
        <f>IF($A163="","",TEXT($A163,"aaa"))</f>
        <v/>
      </c>
      <c r="C163" s="16" t="n"/>
      <c r="D163" s="17" t="n"/>
      <c r="E163" s="18">
        <f>IFERROR($C163/$D163,"")</f>
        <v/>
      </c>
      <c r="F163" s="19" t="n"/>
      <c r="G163" s="19" t="n"/>
      <c r="H163" s="19" t="n"/>
      <c r="I163" s="15">
        <f>IF($A163="","",TEXT($A163,"yyyy/mm"))</f>
        <v/>
      </c>
    </row>
    <row r="164">
      <c r="A164" s="14" t="n"/>
      <c r="B164" s="15">
        <f>IF($A164="","",TEXT($A164,"aaa"))</f>
        <v/>
      </c>
      <c r="C164" s="16" t="n"/>
      <c r="D164" s="17" t="n"/>
      <c r="E164" s="18">
        <f>IFERROR($C164/$D164,"")</f>
        <v/>
      </c>
      <c r="F164" s="19" t="n"/>
      <c r="G164" s="19" t="n"/>
      <c r="H164" s="19" t="n"/>
      <c r="I164" s="15">
        <f>IF($A164="","",TEXT($A164,"yyyy/mm"))</f>
        <v/>
      </c>
    </row>
    <row r="165">
      <c r="A165" s="14" t="n"/>
      <c r="B165" s="15">
        <f>IF($A165="","",TEXT($A165,"aaa"))</f>
        <v/>
      </c>
      <c r="C165" s="16" t="n"/>
      <c r="D165" s="17" t="n"/>
      <c r="E165" s="18">
        <f>IFERROR($C165/$D165,"")</f>
        <v/>
      </c>
      <c r="F165" s="19" t="n"/>
      <c r="G165" s="19" t="n"/>
      <c r="H165" s="19" t="n"/>
      <c r="I165" s="15">
        <f>IF($A165="","",TEXT($A165,"yyyy/mm"))</f>
        <v/>
      </c>
    </row>
    <row r="166">
      <c r="A166" s="14" t="n"/>
      <c r="B166" s="15">
        <f>IF($A166="","",TEXT($A166,"aaa"))</f>
        <v/>
      </c>
      <c r="C166" s="16" t="n"/>
      <c r="D166" s="17" t="n"/>
      <c r="E166" s="18">
        <f>IFERROR($C166/$D166,"")</f>
        <v/>
      </c>
      <c r="F166" s="19" t="n"/>
      <c r="G166" s="19" t="n"/>
      <c r="H166" s="19" t="n"/>
      <c r="I166" s="15">
        <f>IF($A166="","",TEXT($A166,"yyyy/mm"))</f>
        <v/>
      </c>
    </row>
    <row r="167">
      <c r="A167" s="14" t="n"/>
      <c r="B167" s="15">
        <f>IF($A167="","",TEXT($A167,"aaa"))</f>
        <v/>
      </c>
      <c r="C167" s="16" t="n"/>
      <c r="D167" s="17" t="n"/>
      <c r="E167" s="18">
        <f>IFERROR($C167/$D167,"")</f>
        <v/>
      </c>
      <c r="F167" s="19" t="n"/>
      <c r="G167" s="19" t="n"/>
      <c r="H167" s="19" t="n"/>
      <c r="I167" s="15">
        <f>IF($A167="","",TEXT($A167,"yyyy/mm"))</f>
        <v/>
      </c>
    </row>
    <row r="168">
      <c r="A168" s="14" t="n"/>
      <c r="B168" s="15">
        <f>IF($A168="","",TEXT($A168,"aaa"))</f>
        <v/>
      </c>
      <c r="C168" s="16" t="n"/>
      <c r="D168" s="17" t="n"/>
      <c r="E168" s="18">
        <f>IFERROR($C168/$D168,"")</f>
        <v/>
      </c>
      <c r="F168" s="19" t="n"/>
      <c r="G168" s="19" t="n"/>
      <c r="H168" s="19" t="n"/>
      <c r="I168" s="15">
        <f>IF($A168="","",TEXT($A168,"yyyy/mm"))</f>
        <v/>
      </c>
    </row>
    <row r="169">
      <c r="A169" s="14" t="n"/>
      <c r="B169" s="15">
        <f>IF($A169="","",TEXT($A169,"aaa"))</f>
        <v/>
      </c>
      <c r="C169" s="16" t="n"/>
      <c r="D169" s="17" t="n"/>
      <c r="E169" s="18">
        <f>IFERROR($C169/$D169,"")</f>
        <v/>
      </c>
      <c r="F169" s="19" t="n"/>
      <c r="G169" s="19" t="n"/>
      <c r="H169" s="19" t="n"/>
      <c r="I169" s="15">
        <f>IF($A169="","",TEXT($A169,"yyyy/mm"))</f>
        <v/>
      </c>
    </row>
    <row r="170">
      <c r="A170" s="14" t="n"/>
      <c r="B170" s="15">
        <f>IF($A170="","",TEXT($A170,"aaa"))</f>
        <v/>
      </c>
      <c r="C170" s="16" t="n"/>
      <c r="D170" s="17" t="n"/>
      <c r="E170" s="18">
        <f>IFERROR($C170/$D170,"")</f>
        <v/>
      </c>
      <c r="F170" s="19" t="n"/>
      <c r="G170" s="19" t="n"/>
      <c r="H170" s="19" t="n"/>
      <c r="I170" s="15">
        <f>IF($A170="","",TEXT($A170,"yyyy/mm"))</f>
        <v/>
      </c>
    </row>
    <row r="171">
      <c r="A171" s="14" t="n"/>
      <c r="B171" s="15">
        <f>IF($A171="","",TEXT($A171,"aaa"))</f>
        <v/>
      </c>
      <c r="C171" s="16" t="n"/>
      <c r="D171" s="17" t="n"/>
      <c r="E171" s="18">
        <f>IFERROR($C171/$D171,"")</f>
        <v/>
      </c>
      <c r="F171" s="19" t="n"/>
      <c r="G171" s="19" t="n"/>
      <c r="H171" s="19" t="n"/>
      <c r="I171" s="15">
        <f>IF($A171="","",TEXT($A171,"yyyy/mm"))</f>
        <v/>
      </c>
    </row>
    <row r="172">
      <c r="A172" s="14" t="n"/>
      <c r="B172" s="15">
        <f>IF($A172="","",TEXT($A172,"aaa"))</f>
        <v/>
      </c>
      <c r="C172" s="16" t="n"/>
      <c r="D172" s="17" t="n"/>
      <c r="E172" s="18">
        <f>IFERROR($C172/$D172,"")</f>
        <v/>
      </c>
      <c r="F172" s="19" t="n"/>
      <c r="G172" s="19" t="n"/>
      <c r="H172" s="19" t="n"/>
      <c r="I172" s="15">
        <f>IF($A172="","",TEXT($A172,"yyyy/mm"))</f>
        <v/>
      </c>
    </row>
    <row r="173">
      <c r="A173" s="14" t="n"/>
      <c r="B173" s="15">
        <f>IF($A173="","",TEXT($A173,"aaa"))</f>
        <v/>
      </c>
      <c r="C173" s="16" t="n"/>
      <c r="D173" s="17" t="n"/>
      <c r="E173" s="18">
        <f>IFERROR($C173/$D173,"")</f>
        <v/>
      </c>
      <c r="F173" s="19" t="n"/>
      <c r="G173" s="19" t="n"/>
      <c r="H173" s="19" t="n"/>
      <c r="I173" s="15">
        <f>IF($A173="","",TEXT($A173,"yyyy/mm"))</f>
        <v/>
      </c>
    </row>
    <row r="174">
      <c r="A174" s="14" t="n"/>
      <c r="B174" s="15">
        <f>IF($A174="","",TEXT($A174,"aaa"))</f>
        <v/>
      </c>
      <c r="C174" s="16" t="n"/>
      <c r="D174" s="17" t="n"/>
      <c r="E174" s="18">
        <f>IFERROR($C174/$D174,"")</f>
        <v/>
      </c>
      <c r="F174" s="19" t="n"/>
      <c r="G174" s="19" t="n"/>
      <c r="H174" s="19" t="n"/>
      <c r="I174" s="15">
        <f>IF($A174="","",TEXT($A174,"yyyy/mm"))</f>
        <v/>
      </c>
    </row>
    <row r="175">
      <c r="A175" s="14" t="n"/>
      <c r="B175" s="15">
        <f>IF($A175="","",TEXT($A175,"aaa"))</f>
        <v/>
      </c>
      <c r="C175" s="16" t="n"/>
      <c r="D175" s="17" t="n"/>
      <c r="E175" s="18">
        <f>IFERROR($C175/$D175,"")</f>
        <v/>
      </c>
      <c r="F175" s="19" t="n"/>
      <c r="G175" s="19" t="n"/>
      <c r="H175" s="19" t="n"/>
      <c r="I175" s="15">
        <f>IF($A175="","",TEXT($A175,"yyyy/mm"))</f>
        <v/>
      </c>
    </row>
    <row r="176">
      <c r="A176" s="14" t="n"/>
      <c r="B176" s="15">
        <f>IF($A176="","",TEXT($A176,"aaa"))</f>
        <v/>
      </c>
      <c r="C176" s="16" t="n"/>
      <c r="D176" s="17" t="n"/>
      <c r="E176" s="18">
        <f>IFERROR($C176/$D176,"")</f>
        <v/>
      </c>
      <c r="F176" s="19" t="n"/>
      <c r="G176" s="19" t="n"/>
      <c r="H176" s="19" t="n"/>
      <c r="I176" s="15">
        <f>IF($A176="","",TEXT($A176,"yyyy/mm"))</f>
        <v/>
      </c>
    </row>
    <row r="177">
      <c r="A177" s="14" t="n"/>
      <c r="B177" s="15">
        <f>IF($A177="","",TEXT($A177,"aaa"))</f>
        <v/>
      </c>
      <c r="C177" s="16" t="n"/>
      <c r="D177" s="17" t="n"/>
      <c r="E177" s="18">
        <f>IFERROR($C177/$D177,"")</f>
        <v/>
      </c>
      <c r="F177" s="19" t="n"/>
      <c r="G177" s="19" t="n"/>
      <c r="H177" s="19" t="n"/>
      <c r="I177" s="15">
        <f>IF($A177="","",TEXT($A177,"yyyy/mm"))</f>
        <v/>
      </c>
    </row>
    <row r="178">
      <c r="A178" s="14" t="n"/>
      <c r="B178" s="15">
        <f>IF($A178="","",TEXT($A178,"aaa"))</f>
        <v/>
      </c>
      <c r="C178" s="16" t="n"/>
      <c r="D178" s="17" t="n"/>
      <c r="E178" s="18">
        <f>IFERROR($C178/$D178,"")</f>
        <v/>
      </c>
      <c r="F178" s="19" t="n"/>
      <c r="G178" s="19" t="n"/>
      <c r="H178" s="19" t="n"/>
      <c r="I178" s="15">
        <f>IF($A178="","",TEXT($A178,"yyyy/mm"))</f>
        <v/>
      </c>
    </row>
    <row r="179">
      <c r="A179" s="14" t="n"/>
      <c r="B179" s="15">
        <f>IF($A179="","",TEXT($A179,"aaa"))</f>
        <v/>
      </c>
      <c r="C179" s="16" t="n"/>
      <c r="D179" s="17" t="n"/>
      <c r="E179" s="18">
        <f>IFERROR($C179/$D179,"")</f>
        <v/>
      </c>
      <c r="F179" s="19" t="n"/>
      <c r="G179" s="19" t="n"/>
      <c r="H179" s="19" t="n"/>
      <c r="I179" s="15">
        <f>IF($A179="","",TEXT($A179,"yyyy/mm"))</f>
        <v/>
      </c>
    </row>
    <row r="180">
      <c r="A180" s="14" t="n"/>
      <c r="B180" s="15">
        <f>IF($A180="","",TEXT($A180,"aaa"))</f>
        <v/>
      </c>
      <c r="C180" s="16" t="n"/>
      <c r="D180" s="17" t="n"/>
      <c r="E180" s="18">
        <f>IFERROR($C180/$D180,"")</f>
        <v/>
      </c>
      <c r="F180" s="19" t="n"/>
      <c r="G180" s="19" t="n"/>
      <c r="H180" s="19" t="n"/>
      <c r="I180" s="15">
        <f>IF($A180="","",TEXT($A180,"yyyy/mm"))</f>
        <v/>
      </c>
    </row>
    <row r="181">
      <c r="A181" s="14" t="n"/>
      <c r="B181" s="15">
        <f>IF($A181="","",TEXT($A181,"aaa"))</f>
        <v/>
      </c>
      <c r="C181" s="16" t="n"/>
      <c r="D181" s="17" t="n"/>
      <c r="E181" s="18">
        <f>IFERROR($C181/$D181,"")</f>
        <v/>
      </c>
      <c r="F181" s="19" t="n"/>
      <c r="G181" s="19" t="n"/>
      <c r="H181" s="19" t="n"/>
      <c r="I181" s="15">
        <f>IF($A181="","",TEXT($A181,"yyyy/mm"))</f>
        <v/>
      </c>
    </row>
    <row r="182">
      <c r="A182" s="14" t="n"/>
      <c r="B182" s="15">
        <f>IF($A182="","",TEXT($A182,"aaa"))</f>
        <v/>
      </c>
      <c r="C182" s="16" t="n"/>
      <c r="D182" s="17" t="n"/>
      <c r="E182" s="18">
        <f>IFERROR($C182/$D182,"")</f>
        <v/>
      </c>
      <c r="F182" s="19" t="n"/>
      <c r="G182" s="19" t="n"/>
      <c r="H182" s="19" t="n"/>
      <c r="I182" s="15">
        <f>IF($A182="","",TEXT($A182,"yyyy/mm"))</f>
        <v/>
      </c>
    </row>
    <row r="183">
      <c r="A183" s="14" t="n"/>
      <c r="B183" s="15">
        <f>IF($A183="","",TEXT($A183,"aaa"))</f>
        <v/>
      </c>
      <c r="C183" s="16" t="n"/>
      <c r="D183" s="17" t="n"/>
      <c r="E183" s="18">
        <f>IFERROR($C183/$D183,"")</f>
        <v/>
      </c>
      <c r="F183" s="19" t="n"/>
      <c r="G183" s="19" t="n"/>
      <c r="H183" s="19" t="n"/>
      <c r="I183" s="15">
        <f>IF($A183="","",TEXT($A183,"yyyy/mm"))</f>
        <v/>
      </c>
    </row>
    <row r="184">
      <c r="A184" s="14" t="n"/>
      <c r="B184" s="15">
        <f>IF($A184="","",TEXT($A184,"aaa"))</f>
        <v/>
      </c>
      <c r="C184" s="16" t="n"/>
      <c r="D184" s="17" t="n"/>
      <c r="E184" s="18">
        <f>IFERROR($C184/$D184,"")</f>
        <v/>
      </c>
      <c r="F184" s="19" t="n"/>
      <c r="G184" s="19" t="n"/>
      <c r="H184" s="19" t="n"/>
      <c r="I184" s="15">
        <f>IF($A184="","",TEXT($A184,"yyyy/mm"))</f>
        <v/>
      </c>
    </row>
    <row r="185">
      <c r="A185" s="14" t="n"/>
      <c r="B185" s="15">
        <f>IF($A185="","",TEXT($A185,"aaa"))</f>
        <v/>
      </c>
      <c r="C185" s="16" t="n"/>
      <c r="D185" s="17" t="n"/>
      <c r="E185" s="18">
        <f>IFERROR($C185/$D185,"")</f>
        <v/>
      </c>
      <c r="F185" s="19" t="n"/>
      <c r="G185" s="19" t="n"/>
      <c r="H185" s="19" t="n"/>
      <c r="I185" s="15">
        <f>IF($A185="","",TEXT($A185,"yyyy/mm"))</f>
        <v/>
      </c>
    </row>
    <row r="186">
      <c r="A186" s="14" t="n"/>
      <c r="B186" s="15">
        <f>IF($A186="","",TEXT($A186,"aaa"))</f>
        <v/>
      </c>
      <c r="C186" s="16" t="n"/>
      <c r="D186" s="17" t="n"/>
      <c r="E186" s="18">
        <f>IFERROR($C186/$D186,"")</f>
        <v/>
      </c>
      <c r="F186" s="19" t="n"/>
      <c r="G186" s="19" t="n"/>
      <c r="H186" s="19" t="n"/>
      <c r="I186" s="15">
        <f>IF($A186="","",TEXT($A186,"yyyy/mm"))</f>
        <v/>
      </c>
    </row>
    <row r="187">
      <c r="A187" s="14" t="n"/>
      <c r="B187" s="15">
        <f>IF($A187="","",TEXT($A187,"aaa"))</f>
        <v/>
      </c>
      <c r="C187" s="16" t="n"/>
      <c r="D187" s="17" t="n"/>
      <c r="E187" s="18">
        <f>IFERROR($C187/$D187,"")</f>
        <v/>
      </c>
      <c r="F187" s="19" t="n"/>
      <c r="G187" s="19" t="n"/>
      <c r="H187" s="19" t="n"/>
      <c r="I187" s="15">
        <f>IF($A187="","",TEXT($A187,"yyyy/mm"))</f>
        <v/>
      </c>
    </row>
    <row r="188">
      <c r="A188" s="14" t="n"/>
      <c r="B188" s="15">
        <f>IF($A188="","",TEXT($A188,"aaa"))</f>
        <v/>
      </c>
      <c r="C188" s="16" t="n"/>
      <c r="D188" s="17" t="n"/>
      <c r="E188" s="18">
        <f>IFERROR($C188/$D188,"")</f>
        <v/>
      </c>
      <c r="F188" s="19" t="n"/>
      <c r="G188" s="19" t="n"/>
      <c r="H188" s="19" t="n"/>
      <c r="I188" s="15">
        <f>IF($A188="","",TEXT($A188,"yyyy/mm"))</f>
        <v/>
      </c>
    </row>
    <row r="189">
      <c r="A189" s="14" t="n"/>
      <c r="B189" s="15">
        <f>IF($A189="","",TEXT($A189,"aaa"))</f>
        <v/>
      </c>
      <c r="C189" s="16" t="n"/>
      <c r="D189" s="17" t="n"/>
      <c r="E189" s="18">
        <f>IFERROR($C189/$D189,"")</f>
        <v/>
      </c>
      <c r="F189" s="19" t="n"/>
      <c r="G189" s="19" t="n"/>
      <c r="H189" s="19" t="n"/>
      <c r="I189" s="15">
        <f>IF($A189="","",TEXT($A189,"yyyy/mm"))</f>
        <v/>
      </c>
    </row>
    <row r="190">
      <c r="A190" s="14" t="n"/>
      <c r="B190" s="15">
        <f>IF($A190="","",TEXT($A190,"aaa"))</f>
        <v/>
      </c>
      <c r="C190" s="16" t="n"/>
      <c r="D190" s="17" t="n"/>
      <c r="E190" s="18">
        <f>IFERROR($C190/$D190,"")</f>
        <v/>
      </c>
      <c r="F190" s="19" t="n"/>
      <c r="G190" s="19" t="n"/>
      <c r="H190" s="19" t="n"/>
      <c r="I190" s="15">
        <f>IF($A190="","",TEXT($A190,"yyyy/mm"))</f>
        <v/>
      </c>
    </row>
    <row r="191">
      <c r="A191" s="14" t="n"/>
      <c r="B191" s="15">
        <f>IF($A191="","",TEXT($A191,"aaa"))</f>
        <v/>
      </c>
      <c r="C191" s="16" t="n"/>
      <c r="D191" s="17" t="n"/>
      <c r="E191" s="18">
        <f>IFERROR($C191/$D191,"")</f>
        <v/>
      </c>
      <c r="F191" s="19" t="n"/>
      <c r="G191" s="19" t="n"/>
      <c r="H191" s="19" t="n"/>
      <c r="I191" s="15">
        <f>IF($A191="","",TEXT($A191,"yyyy/mm"))</f>
        <v/>
      </c>
    </row>
    <row r="192">
      <c r="A192" s="14" t="n"/>
      <c r="B192" s="15">
        <f>IF($A192="","",TEXT($A192,"aaa"))</f>
        <v/>
      </c>
      <c r="C192" s="16" t="n"/>
      <c r="D192" s="17" t="n"/>
      <c r="E192" s="18">
        <f>IFERROR($C192/$D192,"")</f>
        <v/>
      </c>
      <c r="F192" s="19" t="n"/>
      <c r="G192" s="19" t="n"/>
      <c r="H192" s="19" t="n"/>
      <c r="I192" s="15">
        <f>IF($A192="","",TEXT($A192,"yyyy/mm"))</f>
        <v/>
      </c>
    </row>
    <row r="193">
      <c r="A193" s="14" t="n"/>
      <c r="B193" s="15">
        <f>IF($A193="","",TEXT($A193,"aaa"))</f>
        <v/>
      </c>
      <c r="C193" s="16" t="n"/>
      <c r="D193" s="17" t="n"/>
      <c r="E193" s="18">
        <f>IFERROR($C193/$D193,"")</f>
        <v/>
      </c>
      <c r="F193" s="19" t="n"/>
      <c r="G193" s="19" t="n"/>
      <c r="H193" s="19" t="n"/>
      <c r="I193" s="15">
        <f>IF($A193="","",TEXT($A193,"yyyy/mm"))</f>
        <v/>
      </c>
    </row>
    <row r="194">
      <c r="A194" s="14" t="n"/>
      <c r="B194" s="15">
        <f>IF($A194="","",TEXT($A194,"aaa"))</f>
        <v/>
      </c>
      <c r="C194" s="16" t="n"/>
      <c r="D194" s="17" t="n"/>
      <c r="E194" s="18">
        <f>IFERROR($C194/$D194,"")</f>
        <v/>
      </c>
      <c r="F194" s="19" t="n"/>
      <c r="G194" s="19" t="n"/>
      <c r="H194" s="19" t="n"/>
      <c r="I194" s="15">
        <f>IF($A194="","",TEXT($A194,"yyyy/mm"))</f>
        <v/>
      </c>
    </row>
    <row r="195">
      <c r="A195" s="14" t="n"/>
      <c r="B195" s="15">
        <f>IF($A195="","",TEXT($A195,"aaa"))</f>
        <v/>
      </c>
      <c r="C195" s="16" t="n"/>
      <c r="D195" s="17" t="n"/>
      <c r="E195" s="18">
        <f>IFERROR($C195/$D195,"")</f>
        <v/>
      </c>
      <c r="F195" s="19" t="n"/>
      <c r="G195" s="19" t="n"/>
      <c r="H195" s="19" t="n"/>
      <c r="I195" s="15">
        <f>IF($A195="","",TEXT($A195,"yyyy/mm"))</f>
        <v/>
      </c>
    </row>
    <row r="196">
      <c r="A196" s="14" t="n"/>
      <c r="B196" s="15">
        <f>IF($A196="","",TEXT($A196,"aaa"))</f>
        <v/>
      </c>
      <c r="C196" s="16" t="n"/>
      <c r="D196" s="17" t="n"/>
      <c r="E196" s="18">
        <f>IFERROR($C196/$D196,"")</f>
        <v/>
      </c>
      <c r="F196" s="19" t="n"/>
      <c r="G196" s="19" t="n"/>
      <c r="H196" s="19" t="n"/>
      <c r="I196" s="15">
        <f>IF($A196="","",TEXT($A196,"yyyy/mm"))</f>
        <v/>
      </c>
    </row>
    <row r="197">
      <c r="A197" s="14" t="n"/>
      <c r="B197" s="15">
        <f>IF($A197="","",TEXT($A197,"aaa"))</f>
        <v/>
      </c>
      <c r="C197" s="16" t="n"/>
      <c r="D197" s="17" t="n"/>
      <c r="E197" s="18">
        <f>IFERROR($C197/$D197,"")</f>
        <v/>
      </c>
      <c r="F197" s="19" t="n"/>
      <c r="G197" s="19" t="n"/>
      <c r="H197" s="19" t="n"/>
      <c r="I197" s="15">
        <f>IF($A197="","",TEXT($A197,"yyyy/mm"))</f>
        <v/>
      </c>
    </row>
    <row r="198">
      <c r="A198" s="14" t="n"/>
      <c r="B198" s="15">
        <f>IF($A198="","",TEXT($A198,"aaa"))</f>
        <v/>
      </c>
      <c r="C198" s="16" t="n"/>
      <c r="D198" s="17" t="n"/>
      <c r="E198" s="18">
        <f>IFERROR($C198/$D198,"")</f>
        <v/>
      </c>
      <c r="F198" s="19" t="n"/>
      <c r="G198" s="19" t="n"/>
      <c r="H198" s="19" t="n"/>
      <c r="I198" s="15">
        <f>IF($A198="","",TEXT($A198,"yyyy/mm"))</f>
        <v/>
      </c>
    </row>
    <row r="199">
      <c r="A199" s="14" t="n"/>
      <c r="B199" s="15">
        <f>IF($A199="","",TEXT($A199,"aaa"))</f>
        <v/>
      </c>
      <c r="C199" s="16" t="n"/>
      <c r="D199" s="17" t="n"/>
      <c r="E199" s="18">
        <f>IFERROR($C199/$D199,"")</f>
        <v/>
      </c>
      <c r="F199" s="19" t="n"/>
      <c r="G199" s="19" t="n"/>
      <c r="H199" s="19" t="n"/>
      <c r="I199" s="15">
        <f>IF($A199="","",TEXT($A199,"yyyy/mm"))</f>
        <v/>
      </c>
    </row>
    <row r="200">
      <c r="A200" s="14" t="n"/>
      <c r="B200" s="15">
        <f>IF($A200="","",TEXT($A200,"aaa"))</f>
        <v/>
      </c>
      <c r="C200" s="16" t="n"/>
      <c r="D200" s="17" t="n"/>
      <c r="E200" s="18">
        <f>IFERROR($C200/$D200,"")</f>
        <v/>
      </c>
      <c r="F200" s="19" t="n"/>
      <c r="G200" s="19" t="n"/>
      <c r="H200" s="19" t="n"/>
      <c r="I200" s="15">
        <f>IF($A200="","",TEXT($A200,"yyyy/mm"))</f>
        <v/>
      </c>
    </row>
    <row r="201">
      <c r="A201" s="14" t="n"/>
      <c r="B201" s="15">
        <f>IF($A201="","",TEXT($A201,"aaa"))</f>
        <v/>
      </c>
      <c r="C201" s="16" t="n"/>
      <c r="D201" s="17" t="n"/>
      <c r="E201" s="18">
        <f>IFERROR($C201/$D201,"")</f>
        <v/>
      </c>
      <c r="F201" s="19" t="n"/>
      <c r="G201" s="19" t="n"/>
      <c r="H201" s="19" t="n"/>
      <c r="I201" s="15">
        <f>IF($A201="","",TEXT($A201,"yyyy/mm"))</f>
        <v/>
      </c>
    </row>
    <row r="202">
      <c r="A202" s="14" t="n"/>
      <c r="B202" s="15">
        <f>IF($A202="","",TEXT($A202,"aaa"))</f>
        <v/>
      </c>
      <c r="C202" s="16" t="n"/>
      <c r="D202" s="17" t="n"/>
      <c r="E202" s="18">
        <f>IFERROR($C202/$D202,"")</f>
        <v/>
      </c>
      <c r="F202" s="19" t="n"/>
      <c r="G202" s="19" t="n"/>
      <c r="H202" s="19" t="n"/>
      <c r="I202" s="15">
        <f>IF($A202="","",TEXT($A202,"yyyy/mm"))</f>
        <v/>
      </c>
    </row>
    <row r="203">
      <c r="A203" s="14" t="n"/>
      <c r="B203" s="15">
        <f>IF($A203="","",TEXT($A203,"aaa"))</f>
        <v/>
      </c>
      <c r="C203" s="16" t="n"/>
      <c r="D203" s="17" t="n"/>
      <c r="E203" s="18">
        <f>IFERROR($C203/$D203,"")</f>
        <v/>
      </c>
      <c r="F203" s="19" t="n"/>
      <c r="G203" s="19" t="n"/>
      <c r="H203" s="19" t="n"/>
      <c r="I203" s="15">
        <f>IF($A203="","",TEXT($A203,"yyyy/mm"))</f>
        <v/>
      </c>
    </row>
    <row r="204">
      <c r="A204" s="14" t="n"/>
      <c r="B204" s="15">
        <f>IF($A204="","",TEXT($A204,"aaa"))</f>
        <v/>
      </c>
      <c r="C204" s="16" t="n"/>
      <c r="D204" s="17" t="n"/>
      <c r="E204" s="18">
        <f>IFERROR($C204/$D204,"")</f>
        <v/>
      </c>
      <c r="F204" s="19" t="n"/>
      <c r="G204" s="19" t="n"/>
      <c r="H204" s="19" t="n"/>
      <c r="I204" s="15">
        <f>IF($A204="","",TEXT($A204,"yyyy/mm"))</f>
        <v/>
      </c>
    </row>
    <row r="205">
      <c r="A205" s="14" t="n"/>
      <c r="B205" s="15">
        <f>IF($A205="","",TEXT($A205,"aaa"))</f>
        <v/>
      </c>
      <c r="C205" s="16" t="n"/>
      <c r="D205" s="17" t="n"/>
      <c r="E205" s="18">
        <f>IFERROR($C205/$D205,"")</f>
        <v/>
      </c>
      <c r="F205" s="19" t="n"/>
      <c r="G205" s="19" t="n"/>
      <c r="H205" s="19" t="n"/>
      <c r="I205" s="15">
        <f>IF($A205="","",TEXT($A205,"yyyy/mm"))</f>
        <v/>
      </c>
    </row>
    <row r="206">
      <c r="A206" s="14" t="n"/>
      <c r="B206" s="15">
        <f>IF($A206="","",TEXT($A206,"aaa"))</f>
        <v/>
      </c>
      <c r="C206" s="16" t="n"/>
      <c r="D206" s="17" t="n"/>
      <c r="E206" s="18">
        <f>IFERROR($C206/$D206,"")</f>
        <v/>
      </c>
      <c r="F206" s="19" t="n"/>
      <c r="G206" s="19" t="n"/>
      <c r="H206" s="19" t="n"/>
      <c r="I206" s="15">
        <f>IF($A206="","",TEXT($A206,"yyyy/mm"))</f>
        <v/>
      </c>
    </row>
    <row r="207">
      <c r="A207" s="14" t="n"/>
      <c r="B207" s="15">
        <f>IF($A207="","",TEXT($A207,"aaa"))</f>
        <v/>
      </c>
      <c r="C207" s="16" t="n"/>
      <c r="D207" s="17" t="n"/>
      <c r="E207" s="18">
        <f>IFERROR($C207/$D207,"")</f>
        <v/>
      </c>
      <c r="F207" s="19" t="n"/>
      <c r="G207" s="19" t="n"/>
      <c r="H207" s="19" t="n"/>
      <c r="I207" s="15">
        <f>IF($A207="","",TEXT($A207,"yyyy/mm"))</f>
        <v/>
      </c>
    </row>
    <row r="208">
      <c r="A208" s="14" t="n"/>
      <c r="B208" s="15">
        <f>IF($A208="","",TEXT($A208,"aaa"))</f>
        <v/>
      </c>
      <c r="C208" s="16" t="n"/>
      <c r="D208" s="17" t="n"/>
      <c r="E208" s="18">
        <f>IFERROR($C208/$D208,"")</f>
        <v/>
      </c>
      <c r="F208" s="19" t="n"/>
      <c r="G208" s="19" t="n"/>
      <c r="H208" s="19" t="n"/>
      <c r="I208" s="15">
        <f>IF($A208="","",TEXT($A208,"yyyy/mm"))</f>
        <v/>
      </c>
    </row>
    <row r="209">
      <c r="A209" s="14" t="n"/>
      <c r="B209" s="15">
        <f>IF($A209="","",TEXT($A209,"aaa"))</f>
        <v/>
      </c>
      <c r="C209" s="16" t="n"/>
      <c r="D209" s="17" t="n"/>
      <c r="E209" s="18">
        <f>IFERROR($C209/$D209,"")</f>
        <v/>
      </c>
      <c r="F209" s="19" t="n"/>
      <c r="G209" s="19" t="n"/>
      <c r="H209" s="19" t="n"/>
      <c r="I209" s="15">
        <f>IF($A209="","",TEXT($A209,"yyyy/mm"))</f>
        <v/>
      </c>
    </row>
    <row r="210">
      <c r="A210" s="14" t="n"/>
      <c r="B210" s="15">
        <f>IF($A210="","",TEXT($A210,"aaa"))</f>
        <v/>
      </c>
      <c r="C210" s="16" t="n"/>
      <c r="D210" s="17" t="n"/>
      <c r="E210" s="18">
        <f>IFERROR($C210/$D210,"")</f>
        <v/>
      </c>
      <c r="F210" s="19" t="n"/>
      <c r="G210" s="19" t="n"/>
      <c r="H210" s="19" t="n"/>
      <c r="I210" s="15">
        <f>IF($A210="","",TEXT($A210,"yyyy/mm"))</f>
        <v/>
      </c>
    </row>
    <row r="211">
      <c r="A211" s="14" t="n"/>
      <c r="B211" s="15">
        <f>IF($A211="","",TEXT($A211,"aaa"))</f>
        <v/>
      </c>
      <c r="C211" s="16" t="n"/>
      <c r="D211" s="17" t="n"/>
      <c r="E211" s="18">
        <f>IFERROR($C211/$D211,"")</f>
        <v/>
      </c>
      <c r="F211" s="19" t="n"/>
      <c r="G211" s="19" t="n"/>
      <c r="H211" s="19" t="n"/>
      <c r="I211" s="15">
        <f>IF($A211="","",TEXT($A211,"yyyy/mm"))</f>
        <v/>
      </c>
    </row>
    <row r="212">
      <c r="A212" s="14" t="n"/>
      <c r="B212" s="15">
        <f>IF($A212="","",TEXT($A212,"aaa"))</f>
        <v/>
      </c>
      <c r="C212" s="16" t="n"/>
      <c r="D212" s="17" t="n"/>
      <c r="E212" s="18">
        <f>IFERROR($C212/$D212,"")</f>
        <v/>
      </c>
      <c r="F212" s="19" t="n"/>
      <c r="G212" s="19" t="n"/>
      <c r="H212" s="19" t="n"/>
      <c r="I212" s="15">
        <f>IF($A212="","",TEXT($A212,"yyyy/mm"))</f>
        <v/>
      </c>
    </row>
    <row r="213">
      <c r="A213" s="14" t="n"/>
      <c r="B213" s="15">
        <f>IF($A213="","",TEXT($A213,"aaa"))</f>
        <v/>
      </c>
      <c r="C213" s="16" t="n"/>
      <c r="D213" s="17" t="n"/>
      <c r="E213" s="18">
        <f>IFERROR($C213/$D213,"")</f>
        <v/>
      </c>
      <c r="F213" s="19" t="n"/>
      <c r="G213" s="19" t="n"/>
      <c r="H213" s="19" t="n"/>
      <c r="I213" s="15">
        <f>IF($A213="","",TEXT($A213,"yyyy/mm"))</f>
        <v/>
      </c>
    </row>
    <row r="214">
      <c r="A214" s="14" t="n"/>
      <c r="B214" s="15">
        <f>IF($A214="","",TEXT($A214,"aaa"))</f>
        <v/>
      </c>
      <c r="C214" s="16" t="n"/>
      <c r="D214" s="17" t="n"/>
      <c r="E214" s="18">
        <f>IFERROR($C214/$D214,"")</f>
        <v/>
      </c>
      <c r="F214" s="19" t="n"/>
      <c r="G214" s="19" t="n"/>
      <c r="H214" s="19" t="n"/>
      <c r="I214" s="15">
        <f>IF($A214="","",TEXT($A214,"yyyy/mm"))</f>
        <v/>
      </c>
    </row>
    <row r="215">
      <c r="A215" s="14" t="n"/>
      <c r="B215" s="15">
        <f>IF($A215="","",TEXT($A215,"aaa"))</f>
        <v/>
      </c>
      <c r="C215" s="16" t="n"/>
      <c r="D215" s="17" t="n"/>
      <c r="E215" s="18">
        <f>IFERROR($C215/$D215,"")</f>
        <v/>
      </c>
      <c r="F215" s="19" t="n"/>
      <c r="G215" s="19" t="n"/>
      <c r="H215" s="19" t="n"/>
      <c r="I215" s="15">
        <f>IF($A215="","",TEXT($A215,"yyyy/mm"))</f>
        <v/>
      </c>
    </row>
    <row r="216">
      <c r="A216" s="14" t="n"/>
      <c r="B216" s="15">
        <f>IF($A216="","",TEXT($A216,"aaa"))</f>
        <v/>
      </c>
      <c r="C216" s="16" t="n"/>
      <c r="D216" s="17" t="n"/>
      <c r="E216" s="18">
        <f>IFERROR($C216/$D216,"")</f>
        <v/>
      </c>
      <c r="F216" s="19" t="n"/>
      <c r="G216" s="19" t="n"/>
      <c r="H216" s="19" t="n"/>
      <c r="I216" s="15">
        <f>IF($A216="","",TEXT($A216,"yyyy/mm"))</f>
        <v/>
      </c>
    </row>
    <row r="217">
      <c r="A217" s="14" t="n"/>
      <c r="B217" s="15">
        <f>IF($A217="","",TEXT($A217,"aaa"))</f>
        <v/>
      </c>
      <c r="C217" s="16" t="n"/>
      <c r="D217" s="17" t="n"/>
      <c r="E217" s="18">
        <f>IFERROR($C217/$D217,"")</f>
        <v/>
      </c>
      <c r="F217" s="19" t="n"/>
      <c r="G217" s="19" t="n"/>
      <c r="H217" s="19" t="n"/>
      <c r="I217" s="15">
        <f>IF($A217="","",TEXT($A217,"yyyy/mm"))</f>
        <v/>
      </c>
    </row>
    <row r="218">
      <c r="A218" s="14" t="n"/>
      <c r="B218" s="15">
        <f>IF($A218="","",TEXT($A218,"aaa"))</f>
        <v/>
      </c>
      <c r="C218" s="16" t="n"/>
      <c r="D218" s="17" t="n"/>
      <c r="E218" s="18">
        <f>IFERROR($C218/$D218,"")</f>
        <v/>
      </c>
      <c r="F218" s="19" t="n"/>
      <c r="G218" s="19" t="n"/>
      <c r="H218" s="19" t="n"/>
      <c r="I218" s="15">
        <f>IF($A218="","",TEXT($A218,"yyyy/mm"))</f>
        <v/>
      </c>
    </row>
    <row r="219">
      <c r="A219" s="14" t="n"/>
      <c r="B219" s="15">
        <f>IF($A219="","",TEXT($A219,"aaa"))</f>
        <v/>
      </c>
      <c r="C219" s="16" t="n"/>
      <c r="D219" s="17" t="n"/>
      <c r="E219" s="18">
        <f>IFERROR($C219/$D219,"")</f>
        <v/>
      </c>
      <c r="F219" s="19" t="n"/>
      <c r="G219" s="19" t="n"/>
      <c r="H219" s="19" t="n"/>
      <c r="I219" s="15">
        <f>IF($A219="","",TEXT($A219,"yyyy/mm"))</f>
        <v/>
      </c>
    </row>
    <row r="220">
      <c r="A220" s="14" t="n"/>
      <c r="B220" s="15">
        <f>IF($A220="","",TEXT($A220,"aaa"))</f>
        <v/>
      </c>
      <c r="C220" s="16" t="n"/>
      <c r="D220" s="17" t="n"/>
      <c r="E220" s="18">
        <f>IFERROR($C220/$D220,"")</f>
        <v/>
      </c>
      <c r="F220" s="19" t="n"/>
      <c r="G220" s="19" t="n"/>
      <c r="H220" s="19" t="n"/>
      <c r="I220" s="15">
        <f>IF($A220="","",TEXT($A220,"yyyy/mm"))</f>
        <v/>
      </c>
    </row>
    <row r="221">
      <c r="A221" s="14" t="n"/>
      <c r="B221" s="15">
        <f>IF($A221="","",TEXT($A221,"aaa"))</f>
        <v/>
      </c>
      <c r="C221" s="16" t="n"/>
      <c r="D221" s="17" t="n"/>
      <c r="E221" s="18">
        <f>IFERROR($C221/$D221,"")</f>
        <v/>
      </c>
      <c r="F221" s="19" t="n"/>
      <c r="G221" s="19" t="n"/>
      <c r="H221" s="19" t="n"/>
      <c r="I221" s="15">
        <f>IF($A221="","",TEXT($A221,"yyyy/mm"))</f>
        <v/>
      </c>
    </row>
    <row r="222">
      <c r="A222" s="14" t="n"/>
      <c r="B222" s="15">
        <f>IF($A222="","",TEXT($A222,"aaa"))</f>
        <v/>
      </c>
      <c r="C222" s="16" t="n"/>
      <c r="D222" s="17" t="n"/>
      <c r="E222" s="18">
        <f>IFERROR($C222/$D222,"")</f>
        <v/>
      </c>
      <c r="F222" s="19" t="n"/>
      <c r="G222" s="19" t="n"/>
      <c r="H222" s="19" t="n"/>
      <c r="I222" s="15">
        <f>IF($A222="","",TEXT($A222,"yyyy/mm"))</f>
        <v/>
      </c>
    </row>
    <row r="223">
      <c r="A223" s="14" t="n"/>
      <c r="B223" s="15">
        <f>IF($A223="","",TEXT($A223,"aaa"))</f>
        <v/>
      </c>
      <c r="C223" s="16" t="n"/>
      <c r="D223" s="17" t="n"/>
      <c r="E223" s="18">
        <f>IFERROR($C223/$D223,"")</f>
        <v/>
      </c>
      <c r="F223" s="19" t="n"/>
      <c r="G223" s="19" t="n"/>
      <c r="H223" s="19" t="n"/>
      <c r="I223" s="15">
        <f>IF($A223="","",TEXT($A223,"yyyy/mm"))</f>
        <v/>
      </c>
    </row>
    <row r="224">
      <c r="A224" s="14" t="n"/>
      <c r="B224" s="15">
        <f>IF($A224="","",TEXT($A224,"aaa"))</f>
        <v/>
      </c>
      <c r="C224" s="16" t="n"/>
      <c r="D224" s="17" t="n"/>
      <c r="E224" s="18">
        <f>IFERROR($C224/$D224,"")</f>
        <v/>
      </c>
      <c r="F224" s="19" t="n"/>
      <c r="G224" s="19" t="n"/>
      <c r="H224" s="19" t="n"/>
      <c r="I224" s="15">
        <f>IF($A224="","",TEXT($A224,"yyyy/mm"))</f>
        <v/>
      </c>
    </row>
    <row r="225">
      <c r="A225" s="14" t="n"/>
      <c r="B225" s="15">
        <f>IF($A225="","",TEXT($A225,"aaa"))</f>
        <v/>
      </c>
      <c r="C225" s="16" t="n"/>
      <c r="D225" s="17" t="n"/>
      <c r="E225" s="18">
        <f>IFERROR($C225/$D225,"")</f>
        <v/>
      </c>
      <c r="F225" s="19" t="n"/>
      <c r="G225" s="19" t="n"/>
      <c r="H225" s="19" t="n"/>
      <c r="I225" s="15">
        <f>IF($A225="","",TEXT($A225,"yyyy/mm"))</f>
        <v/>
      </c>
    </row>
    <row r="226">
      <c r="A226" s="14" t="n"/>
      <c r="B226" s="15">
        <f>IF($A226="","",TEXT($A226,"aaa"))</f>
        <v/>
      </c>
      <c r="C226" s="16" t="n"/>
      <c r="D226" s="17" t="n"/>
      <c r="E226" s="18">
        <f>IFERROR($C226/$D226,"")</f>
        <v/>
      </c>
      <c r="F226" s="19" t="n"/>
      <c r="G226" s="19" t="n"/>
      <c r="H226" s="19" t="n"/>
      <c r="I226" s="15">
        <f>IF($A226="","",TEXT($A226,"yyyy/mm"))</f>
        <v/>
      </c>
    </row>
    <row r="227">
      <c r="A227" s="14" t="n"/>
      <c r="B227" s="15">
        <f>IF($A227="","",TEXT($A227,"aaa"))</f>
        <v/>
      </c>
      <c r="C227" s="16" t="n"/>
      <c r="D227" s="17" t="n"/>
      <c r="E227" s="18">
        <f>IFERROR($C227/$D227,"")</f>
        <v/>
      </c>
      <c r="F227" s="19" t="n"/>
      <c r="G227" s="19" t="n"/>
      <c r="H227" s="19" t="n"/>
      <c r="I227" s="15">
        <f>IF($A227="","",TEXT($A227,"yyyy/mm"))</f>
        <v/>
      </c>
    </row>
    <row r="228">
      <c r="A228" s="14" t="n"/>
      <c r="B228" s="15">
        <f>IF($A228="","",TEXT($A228,"aaa"))</f>
        <v/>
      </c>
      <c r="C228" s="16" t="n"/>
      <c r="D228" s="17" t="n"/>
      <c r="E228" s="18">
        <f>IFERROR($C228/$D228,"")</f>
        <v/>
      </c>
      <c r="F228" s="19" t="n"/>
      <c r="G228" s="19" t="n"/>
      <c r="H228" s="19" t="n"/>
      <c r="I228" s="15">
        <f>IF($A228="","",TEXT($A228,"yyyy/mm"))</f>
        <v/>
      </c>
    </row>
    <row r="229">
      <c r="A229" s="14" t="n"/>
      <c r="B229" s="15">
        <f>IF($A229="","",TEXT($A229,"aaa"))</f>
        <v/>
      </c>
      <c r="C229" s="16" t="n"/>
      <c r="D229" s="17" t="n"/>
      <c r="E229" s="18">
        <f>IFERROR($C229/$D229,"")</f>
        <v/>
      </c>
      <c r="F229" s="19" t="n"/>
      <c r="G229" s="19" t="n"/>
      <c r="H229" s="19" t="n"/>
      <c r="I229" s="15">
        <f>IF($A229="","",TEXT($A229,"yyyy/mm"))</f>
        <v/>
      </c>
    </row>
    <row r="230">
      <c r="A230" s="14" t="n"/>
      <c r="B230" s="15">
        <f>IF($A230="","",TEXT($A230,"aaa"))</f>
        <v/>
      </c>
      <c r="C230" s="16" t="n"/>
      <c r="D230" s="17" t="n"/>
      <c r="E230" s="18">
        <f>IFERROR($C230/$D230,"")</f>
        <v/>
      </c>
      <c r="F230" s="19" t="n"/>
      <c r="G230" s="19" t="n"/>
      <c r="H230" s="19" t="n"/>
      <c r="I230" s="15">
        <f>IF($A230="","",TEXT($A230,"yyyy/mm"))</f>
        <v/>
      </c>
    </row>
    <row r="231">
      <c r="A231" s="14" t="n"/>
      <c r="B231" s="15">
        <f>IF($A231="","",TEXT($A231,"aaa"))</f>
        <v/>
      </c>
      <c r="C231" s="16" t="n"/>
      <c r="D231" s="17" t="n"/>
      <c r="E231" s="18">
        <f>IFERROR($C231/$D231,"")</f>
        <v/>
      </c>
      <c r="F231" s="19" t="n"/>
      <c r="G231" s="19" t="n"/>
      <c r="H231" s="19" t="n"/>
      <c r="I231" s="15">
        <f>IF($A231="","",TEXT($A231,"yyyy/mm"))</f>
        <v/>
      </c>
    </row>
    <row r="232">
      <c r="A232" s="14" t="n"/>
      <c r="B232" s="15">
        <f>IF($A232="","",TEXT($A232,"aaa"))</f>
        <v/>
      </c>
      <c r="C232" s="16" t="n"/>
      <c r="D232" s="17" t="n"/>
      <c r="E232" s="18">
        <f>IFERROR($C232/$D232,"")</f>
        <v/>
      </c>
      <c r="F232" s="19" t="n"/>
      <c r="G232" s="19" t="n"/>
      <c r="H232" s="19" t="n"/>
      <c r="I232" s="15">
        <f>IF($A232="","",TEXT($A232,"yyyy/mm"))</f>
        <v/>
      </c>
    </row>
    <row r="233">
      <c r="A233" s="14" t="n"/>
      <c r="B233" s="15">
        <f>IF($A233="","",TEXT($A233,"aaa"))</f>
        <v/>
      </c>
      <c r="C233" s="16" t="n"/>
      <c r="D233" s="17" t="n"/>
      <c r="E233" s="18">
        <f>IFERROR($C233/$D233,"")</f>
        <v/>
      </c>
      <c r="F233" s="19" t="n"/>
      <c r="G233" s="19" t="n"/>
      <c r="H233" s="19" t="n"/>
      <c r="I233" s="15">
        <f>IF($A233="","",TEXT($A233,"yyyy/mm"))</f>
        <v/>
      </c>
    </row>
    <row r="234">
      <c r="A234" s="14" t="n"/>
      <c r="B234" s="15">
        <f>IF($A234="","",TEXT($A234,"aaa"))</f>
        <v/>
      </c>
      <c r="C234" s="16" t="n"/>
      <c r="D234" s="17" t="n"/>
      <c r="E234" s="18">
        <f>IFERROR($C234/$D234,"")</f>
        <v/>
      </c>
      <c r="F234" s="19" t="n"/>
      <c r="G234" s="19" t="n"/>
      <c r="H234" s="19" t="n"/>
      <c r="I234" s="15">
        <f>IF($A234="","",TEXT($A234,"yyyy/mm"))</f>
        <v/>
      </c>
    </row>
    <row r="235">
      <c r="A235" s="14" t="n"/>
      <c r="B235" s="15">
        <f>IF($A235="","",TEXT($A235,"aaa"))</f>
        <v/>
      </c>
      <c r="C235" s="16" t="n"/>
      <c r="D235" s="17" t="n"/>
      <c r="E235" s="18">
        <f>IFERROR($C235/$D235,"")</f>
        <v/>
      </c>
      <c r="F235" s="19" t="n"/>
      <c r="G235" s="19" t="n"/>
      <c r="H235" s="19" t="n"/>
      <c r="I235" s="15">
        <f>IF($A235="","",TEXT($A235,"yyyy/mm"))</f>
        <v/>
      </c>
    </row>
    <row r="236">
      <c r="A236" s="14" t="n"/>
      <c r="B236" s="15">
        <f>IF($A236="","",TEXT($A236,"aaa"))</f>
        <v/>
      </c>
      <c r="C236" s="16" t="n"/>
      <c r="D236" s="17" t="n"/>
      <c r="E236" s="18">
        <f>IFERROR($C236/$D236,"")</f>
        <v/>
      </c>
      <c r="F236" s="19" t="n"/>
      <c r="G236" s="19" t="n"/>
      <c r="H236" s="19" t="n"/>
      <c r="I236" s="15">
        <f>IF($A236="","",TEXT($A236,"yyyy/mm"))</f>
        <v/>
      </c>
    </row>
    <row r="237">
      <c r="A237" s="14" t="n"/>
      <c r="B237" s="15">
        <f>IF($A237="","",TEXT($A237,"aaa"))</f>
        <v/>
      </c>
      <c r="C237" s="16" t="n"/>
      <c r="D237" s="17" t="n"/>
      <c r="E237" s="18">
        <f>IFERROR($C237/$D237,"")</f>
        <v/>
      </c>
      <c r="F237" s="19" t="n"/>
      <c r="G237" s="19" t="n"/>
      <c r="H237" s="19" t="n"/>
      <c r="I237" s="15">
        <f>IF($A237="","",TEXT($A237,"yyyy/mm"))</f>
        <v/>
      </c>
    </row>
    <row r="238">
      <c r="A238" s="14" t="n"/>
      <c r="B238" s="15">
        <f>IF($A238="","",TEXT($A238,"aaa"))</f>
        <v/>
      </c>
      <c r="C238" s="16" t="n"/>
      <c r="D238" s="17" t="n"/>
      <c r="E238" s="18">
        <f>IFERROR($C238/$D238,"")</f>
        <v/>
      </c>
      <c r="F238" s="19" t="n"/>
      <c r="G238" s="19" t="n"/>
      <c r="H238" s="19" t="n"/>
      <c r="I238" s="15">
        <f>IF($A238="","",TEXT($A238,"yyyy/mm"))</f>
        <v/>
      </c>
    </row>
    <row r="239">
      <c r="A239" s="14" t="n"/>
      <c r="B239" s="15">
        <f>IF($A239="","",TEXT($A239,"aaa"))</f>
        <v/>
      </c>
      <c r="C239" s="16" t="n"/>
      <c r="D239" s="17" t="n"/>
      <c r="E239" s="18">
        <f>IFERROR($C239/$D239,"")</f>
        <v/>
      </c>
      <c r="F239" s="19" t="n"/>
      <c r="G239" s="19" t="n"/>
      <c r="H239" s="19" t="n"/>
      <c r="I239" s="15">
        <f>IF($A239="","",TEXT($A239,"yyyy/mm"))</f>
        <v/>
      </c>
    </row>
    <row r="240">
      <c r="A240" s="14" t="n"/>
      <c r="B240" s="15">
        <f>IF($A240="","",TEXT($A240,"aaa"))</f>
        <v/>
      </c>
      <c r="C240" s="16" t="n"/>
      <c r="D240" s="17" t="n"/>
      <c r="E240" s="18">
        <f>IFERROR($C240/$D240,"")</f>
        <v/>
      </c>
      <c r="F240" s="19" t="n"/>
      <c r="G240" s="19" t="n"/>
      <c r="H240" s="19" t="n"/>
      <c r="I240" s="15">
        <f>IF($A240="","",TEXT($A240,"yyyy/mm"))</f>
        <v/>
      </c>
    </row>
    <row r="241">
      <c r="A241" s="14" t="n"/>
      <c r="B241" s="15">
        <f>IF($A241="","",TEXT($A241,"aaa"))</f>
        <v/>
      </c>
      <c r="C241" s="16" t="n"/>
      <c r="D241" s="17" t="n"/>
      <c r="E241" s="18">
        <f>IFERROR($C241/$D241,"")</f>
        <v/>
      </c>
      <c r="F241" s="19" t="n"/>
      <c r="G241" s="19" t="n"/>
      <c r="H241" s="19" t="n"/>
      <c r="I241" s="15">
        <f>IF($A241="","",TEXT($A241,"yyyy/mm"))</f>
        <v/>
      </c>
    </row>
    <row r="242">
      <c r="A242" s="14" t="n"/>
      <c r="B242" s="15">
        <f>IF($A242="","",TEXT($A242,"aaa"))</f>
        <v/>
      </c>
      <c r="C242" s="16" t="n"/>
      <c r="D242" s="17" t="n"/>
      <c r="E242" s="18">
        <f>IFERROR($C242/$D242,"")</f>
        <v/>
      </c>
      <c r="F242" s="19" t="n"/>
      <c r="G242" s="19" t="n"/>
      <c r="H242" s="19" t="n"/>
      <c r="I242" s="15">
        <f>IF($A242="","",TEXT($A242,"yyyy/mm"))</f>
        <v/>
      </c>
    </row>
    <row r="243">
      <c r="A243" s="14" t="n"/>
      <c r="B243" s="15">
        <f>IF($A243="","",TEXT($A243,"aaa"))</f>
        <v/>
      </c>
      <c r="C243" s="16" t="n"/>
      <c r="D243" s="17" t="n"/>
      <c r="E243" s="18">
        <f>IFERROR($C243/$D243,"")</f>
        <v/>
      </c>
      <c r="F243" s="19" t="n"/>
      <c r="G243" s="19" t="n"/>
      <c r="H243" s="19" t="n"/>
      <c r="I243" s="15">
        <f>IF($A243="","",TEXT($A243,"yyyy/mm"))</f>
        <v/>
      </c>
    </row>
    <row r="244">
      <c r="A244" s="14" t="n"/>
      <c r="B244" s="15">
        <f>IF($A244="","",TEXT($A244,"aaa"))</f>
        <v/>
      </c>
      <c r="C244" s="16" t="n"/>
      <c r="D244" s="17" t="n"/>
      <c r="E244" s="18">
        <f>IFERROR($C244/$D244,"")</f>
        <v/>
      </c>
      <c r="F244" s="19" t="n"/>
      <c r="G244" s="19" t="n"/>
      <c r="H244" s="19" t="n"/>
      <c r="I244" s="15">
        <f>IF($A244="","",TEXT($A244,"yyyy/mm"))</f>
        <v/>
      </c>
    </row>
    <row r="245">
      <c r="A245" s="14" t="n"/>
      <c r="B245" s="15">
        <f>IF($A245="","",TEXT($A245,"aaa"))</f>
        <v/>
      </c>
      <c r="C245" s="16" t="n"/>
      <c r="D245" s="17" t="n"/>
      <c r="E245" s="18">
        <f>IFERROR($C245/$D245,"")</f>
        <v/>
      </c>
      <c r="F245" s="19" t="n"/>
      <c r="G245" s="19" t="n"/>
      <c r="H245" s="19" t="n"/>
      <c r="I245" s="15">
        <f>IF($A245="","",TEXT($A245,"yyyy/mm"))</f>
        <v/>
      </c>
    </row>
    <row r="246">
      <c r="A246" s="14" t="n"/>
      <c r="B246" s="15">
        <f>IF($A246="","",TEXT($A246,"aaa"))</f>
        <v/>
      </c>
      <c r="C246" s="16" t="n"/>
      <c r="D246" s="17" t="n"/>
      <c r="E246" s="18">
        <f>IFERROR($C246/$D246,"")</f>
        <v/>
      </c>
      <c r="F246" s="19" t="n"/>
      <c r="G246" s="19" t="n"/>
      <c r="H246" s="19" t="n"/>
      <c r="I246" s="15">
        <f>IF($A246="","",TEXT($A246,"yyyy/mm"))</f>
        <v/>
      </c>
    </row>
    <row r="247">
      <c r="A247" s="14" t="n"/>
      <c r="B247" s="15">
        <f>IF($A247="","",TEXT($A247,"aaa"))</f>
        <v/>
      </c>
      <c r="C247" s="16" t="n"/>
      <c r="D247" s="17" t="n"/>
      <c r="E247" s="18">
        <f>IFERROR($C247/$D247,"")</f>
        <v/>
      </c>
      <c r="F247" s="19" t="n"/>
      <c r="G247" s="19" t="n"/>
      <c r="H247" s="19" t="n"/>
      <c r="I247" s="15">
        <f>IF($A247="","",TEXT($A247,"yyyy/mm"))</f>
        <v/>
      </c>
    </row>
    <row r="248">
      <c r="A248" s="14" t="n"/>
      <c r="B248" s="15">
        <f>IF($A248="","",TEXT($A248,"aaa"))</f>
        <v/>
      </c>
      <c r="C248" s="16" t="n"/>
      <c r="D248" s="17" t="n"/>
      <c r="E248" s="18">
        <f>IFERROR($C248/$D248,"")</f>
        <v/>
      </c>
      <c r="F248" s="19" t="n"/>
      <c r="G248" s="19" t="n"/>
      <c r="H248" s="19" t="n"/>
      <c r="I248" s="15">
        <f>IF($A248="","",TEXT($A248,"yyyy/mm"))</f>
        <v/>
      </c>
    </row>
    <row r="249">
      <c r="A249" s="14" t="n"/>
      <c r="B249" s="15">
        <f>IF($A249="","",TEXT($A249,"aaa"))</f>
        <v/>
      </c>
      <c r="C249" s="16" t="n"/>
      <c r="D249" s="17" t="n"/>
      <c r="E249" s="18">
        <f>IFERROR($C249/$D249,"")</f>
        <v/>
      </c>
      <c r="F249" s="19" t="n"/>
      <c r="G249" s="19" t="n"/>
      <c r="H249" s="19" t="n"/>
      <c r="I249" s="15">
        <f>IF($A249="","",TEXT($A249,"yyyy/mm"))</f>
        <v/>
      </c>
    </row>
    <row r="250">
      <c r="A250" s="14" t="n"/>
      <c r="B250" s="15">
        <f>IF($A250="","",TEXT($A250,"aaa"))</f>
        <v/>
      </c>
      <c r="C250" s="16" t="n"/>
      <c r="D250" s="17" t="n"/>
      <c r="E250" s="18">
        <f>IFERROR($C250/$D250,"")</f>
        <v/>
      </c>
      <c r="F250" s="19" t="n"/>
      <c r="G250" s="19" t="n"/>
      <c r="H250" s="19" t="n"/>
      <c r="I250" s="15">
        <f>IF($A250="","",TEXT($A250,"yyyy/mm"))</f>
        <v/>
      </c>
    </row>
    <row r="251">
      <c r="A251" s="14" t="n"/>
      <c r="B251" s="15">
        <f>IF($A251="","",TEXT($A251,"aaa"))</f>
        <v/>
      </c>
      <c r="C251" s="16" t="n"/>
      <c r="D251" s="17" t="n"/>
      <c r="E251" s="18">
        <f>IFERROR($C251/$D251,"")</f>
        <v/>
      </c>
      <c r="F251" s="19" t="n"/>
      <c r="G251" s="19" t="n"/>
      <c r="H251" s="19" t="n"/>
      <c r="I251" s="15">
        <f>IF($A251="","",TEXT($A251,"yyyy/mm"))</f>
        <v/>
      </c>
    </row>
    <row r="252">
      <c r="A252" s="14" t="n"/>
      <c r="B252" s="15">
        <f>IF($A252="","",TEXT($A252,"aaa"))</f>
        <v/>
      </c>
      <c r="C252" s="16" t="n"/>
      <c r="D252" s="17" t="n"/>
      <c r="E252" s="18">
        <f>IFERROR($C252/$D252,"")</f>
        <v/>
      </c>
      <c r="F252" s="19" t="n"/>
      <c r="G252" s="19" t="n"/>
      <c r="H252" s="19" t="n"/>
      <c r="I252" s="15">
        <f>IF($A252="","",TEXT($A252,"yyyy/mm"))</f>
        <v/>
      </c>
    </row>
    <row r="253">
      <c r="A253" s="14" t="n"/>
      <c r="B253" s="15">
        <f>IF($A253="","",TEXT($A253,"aaa"))</f>
        <v/>
      </c>
      <c r="C253" s="16" t="n"/>
      <c r="D253" s="17" t="n"/>
      <c r="E253" s="18">
        <f>IFERROR($C253/$D253,"")</f>
        <v/>
      </c>
      <c r="F253" s="19" t="n"/>
      <c r="G253" s="19" t="n"/>
      <c r="H253" s="19" t="n"/>
      <c r="I253" s="15">
        <f>IF($A253="","",TEXT($A253,"yyyy/mm"))</f>
        <v/>
      </c>
    </row>
    <row r="254">
      <c r="A254" s="14" t="n"/>
      <c r="B254" s="15">
        <f>IF($A254="","",TEXT($A254,"aaa"))</f>
        <v/>
      </c>
      <c r="C254" s="16" t="n"/>
      <c r="D254" s="17" t="n"/>
      <c r="E254" s="18">
        <f>IFERROR($C254/$D254,"")</f>
        <v/>
      </c>
      <c r="F254" s="19" t="n"/>
      <c r="G254" s="19" t="n"/>
      <c r="H254" s="19" t="n"/>
      <c r="I254" s="15">
        <f>IF($A254="","",TEXT($A254,"yyyy/mm"))</f>
        <v/>
      </c>
    </row>
    <row r="255">
      <c r="A255" s="14" t="n"/>
      <c r="B255" s="15">
        <f>IF($A255="","",TEXT($A255,"aaa"))</f>
        <v/>
      </c>
      <c r="C255" s="16" t="n"/>
      <c r="D255" s="17" t="n"/>
      <c r="E255" s="18">
        <f>IFERROR($C255/$D255,"")</f>
        <v/>
      </c>
      <c r="F255" s="19" t="n"/>
      <c r="G255" s="19" t="n"/>
      <c r="H255" s="19" t="n"/>
      <c r="I255" s="15">
        <f>IF($A255="","",TEXT($A255,"yyyy/mm"))</f>
        <v/>
      </c>
    </row>
    <row r="256">
      <c r="A256" s="14" t="n"/>
      <c r="B256" s="15">
        <f>IF($A256="","",TEXT($A256,"aaa"))</f>
        <v/>
      </c>
      <c r="C256" s="16" t="n"/>
      <c r="D256" s="17" t="n"/>
      <c r="E256" s="18">
        <f>IFERROR($C256/$D256,"")</f>
        <v/>
      </c>
      <c r="F256" s="19" t="n"/>
      <c r="G256" s="19" t="n"/>
      <c r="H256" s="19" t="n"/>
      <c r="I256" s="15">
        <f>IF($A256="","",TEXT($A256,"yyyy/mm"))</f>
        <v/>
      </c>
    </row>
    <row r="257">
      <c r="A257" s="14" t="n"/>
      <c r="B257" s="15">
        <f>IF($A257="","",TEXT($A257,"aaa"))</f>
        <v/>
      </c>
      <c r="C257" s="16" t="n"/>
      <c r="D257" s="17" t="n"/>
      <c r="E257" s="18">
        <f>IFERROR($C257/$D257,"")</f>
        <v/>
      </c>
      <c r="F257" s="19" t="n"/>
      <c r="G257" s="19" t="n"/>
      <c r="H257" s="19" t="n"/>
      <c r="I257" s="15">
        <f>IF($A257="","",TEXT($A257,"yyyy/mm"))</f>
        <v/>
      </c>
    </row>
    <row r="258">
      <c r="A258" s="14" t="n"/>
      <c r="B258" s="15">
        <f>IF($A258="","",TEXT($A258,"aaa"))</f>
        <v/>
      </c>
      <c r="C258" s="16" t="n"/>
      <c r="D258" s="17" t="n"/>
      <c r="E258" s="18">
        <f>IFERROR($C258/$D258,"")</f>
        <v/>
      </c>
      <c r="F258" s="19" t="n"/>
      <c r="G258" s="19" t="n"/>
      <c r="H258" s="19" t="n"/>
      <c r="I258" s="15">
        <f>IF($A258="","",TEXT($A258,"yyyy/mm"))</f>
        <v/>
      </c>
    </row>
    <row r="259">
      <c r="A259" s="14" t="n"/>
      <c r="B259" s="15">
        <f>IF($A259="","",TEXT($A259,"aaa"))</f>
        <v/>
      </c>
      <c r="C259" s="16" t="n"/>
      <c r="D259" s="17" t="n"/>
      <c r="E259" s="18">
        <f>IFERROR($C259/$D259,"")</f>
        <v/>
      </c>
      <c r="F259" s="19" t="n"/>
      <c r="G259" s="19" t="n"/>
      <c r="H259" s="19" t="n"/>
      <c r="I259" s="15">
        <f>IF($A259="","",TEXT($A259,"yyyy/mm"))</f>
        <v/>
      </c>
    </row>
    <row r="260">
      <c r="A260" s="14" t="n"/>
      <c r="B260" s="15">
        <f>IF($A260="","",TEXT($A260,"aaa"))</f>
        <v/>
      </c>
      <c r="C260" s="16" t="n"/>
      <c r="D260" s="17" t="n"/>
      <c r="E260" s="18">
        <f>IFERROR($C260/$D260,"")</f>
        <v/>
      </c>
      <c r="F260" s="19" t="n"/>
      <c r="G260" s="19" t="n"/>
      <c r="H260" s="19" t="n"/>
      <c r="I260" s="15">
        <f>IF($A260="","",TEXT($A260,"yyyy/mm"))</f>
        <v/>
      </c>
    </row>
    <row r="261">
      <c r="A261" s="14" t="n"/>
      <c r="B261" s="15">
        <f>IF($A261="","",TEXT($A261,"aaa"))</f>
        <v/>
      </c>
      <c r="C261" s="16" t="n"/>
      <c r="D261" s="17" t="n"/>
      <c r="E261" s="18">
        <f>IFERROR($C261/$D261,"")</f>
        <v/>
      </c>
      <c r="F261" s="19" t="n"/>
      <c r="G261" s="19" t="n"/>
      <c r="H261" s="19" t="n"/>
      <c r="I261" s="15">
        <f>IF($A261="","",TEXT($A261,"yyyy/mm"))</f>
        <v/>
      </c>
    </row>
    <row r="262">
      <c r="A262" s="14" t="n"/>
      <c r="B262" s="15">
        <f>IF($A262="","",TEXT($A262,"aaa"))</f>
        <v/>
      </c>
      <c r="C262" s="16" t="n"/>
      <c r="D262" s="17" t="n"/>
      <c r="E262" s="18">
        <f>IFERROR($C262/$D262,"")</f>
        <v/>
      </c>
      <c r="F262" s="19" t="n"/>
      <c r="G262" s="19" t="n"/>
      <c r="H262" s="19" t="n"/>
      <c r="I262" s="15">
        <f>IF($A262="","",TEXT($A262,"yyyy/mm"))</f>
        <v/>
      </c>
    </row>
    <row r="263">
      <c r="A263" s="14" t="n"/>
      <c r="B263" s="15">
        <f>IF($A263="","",TEXT($A263,"aaa"))</f>
        <v/>
      </c>
      <c r="C263" s="16" t="n"/>
      <c r="D263" s="17" t="n"/>
      <c r="E263" s="18">
        <f>IFERROR($C263/$D263,"")</f>
        <v/>
      </c>
      <c r="F263" s="19" t="n"/>
      <c r="G263" s="19" t="n"/>
      <c r="H263" s="19" t="n"/>
      <c r="I263" s="15">
        <f>IF($A263="","",TEXT($A263,"yyyy/mm"))</f>
        <v/>
      </c>
    </row>
    <row r="264">
      <c r="A264" s="14" t="n"/>
      <c r="B264" s="15">
        <f>IF($A264="","",TEXT($A264,"aaa"))</f>
        <v/>
      </c>
      <c r="C264" s="16" t="n"/>
      <c r="D264" s="17" t="n"/>
      <c r="E264" s="18">
        <f>IFERROR($C264/$D264,"")</f>
        <v/>
      </c>
      <c r="F264" s="19" t="n"/>
      <c r="G264" s="19" t="n"/>
      <c r="H264" s="19" t="n"/>
      <c r="I264" s="15">
        <f>IF($A264="","",TEXT($A264,"yyyy/mm"))</f>
        <v/>
      </c>
    </row>
    <row r="265">
      <c r="A265" s="14" t="n"/>
      <c r="B265" s="15">
        <f>IF($A265="","",TEXT($A265,"aaa"))</f>
        <v/>
      </c>
      <c r="C265" s="16" t="n"/>
      <c r="D265" s="17" t="n"/>
      <c r="E265" s="18">
        <f>IFERROR($C265/$D265,"")</f>
        <v/>
      </c>
      <c r="F265" s="19" t="n"/>
      <c r="G265" s="19" t="n"/>
      <c r="H265" s="19" t="n"/>
      <c r="I265" s="15">
        <f>IF($A265="","",TEXT($A265,"yyyy/mm"))</f>
        <v/>
      </c>
    </row>
    <row r="266">
      <c r="A266" s="14" t="n"/>
      <c r="B266" s="15">
        <f>IF($A266="","",TEXT($A266,"aaa"))</f>
        <v/>
      </c>
      <c r="C266" s="16" t="n"/>
      <c r="D266" s="17" t="n"/>
      <c r="E266" s="18">
        <f>IFERROR($C266/$D266,"")</f>
        <v/>
      </c>
      <c r="F266" s="19" t="n"/>
      <c r="G266" s="19" t="n"/>
      <c r="H266" s="19" t="n"/>
      <c r="I266" s="15">
        <f>IF($A266="","",TEXT($A266,"yyyy/mm"))</f>
        <v/>
      </c>
    </row>
    <row r="267">
      <c r="A267" s="14" t="n"/>
      <c r="B267" s="15">
        <f>IF($A267="","",TEXT($A267,"aaa"))</f>
        <v/>
      </c>
      <c r="C267" s="16" t="n"/>
      <c r="D267" s="17" t="n"/>
      <c r="E267" s="18">
        <f>IFERROR($C267/$D267,"")</f>
        <v/>
      </c>
      <c r="F267" s="19" t="n"/>
      <c r="G267" s="19" t="n"/>
      <c r="H267" s="19" t="n"/>
      <c r="I267" s="15">
        <f>IF($A267="","",TEXT($A267,"yyyy/mm"))</f>
        <v/>
      </c>
    </row>
    <row r="268">
      <c r="A268" s="14" t="n"/>
      <c r="B268" s="15">
        <f>IF($A268="","",TEXT($A268,"aaa"))</f>
        <v/>
      </c>
      <c r="C268" s="16" t="n"/>
      <c r="D268" s="17" t="n"/>
      <c r="E268" s="18">
        <f>IFERROR($C268/$D268,"")</f>
        <v/>
      </c>
      <c r="F268" s="19" t="n"/>
      <c r="G268" s="19" t="n"/>
      <c r="H268" s="19" t="n"/>
      <c r="I268" s="15">
        <f>IF($A268="","",TEXT($A268,"yyyy/mm"))</f>
        <v/>
      </c>
    </row>
    <row r="269">
      <c r="A269" s="14" t="n"/>
      <c r="B269" s="15">
        <f>IF($A269="","",TEXT($A269,"aaa"))</f>
        <v/>
      </c>
      <c r="C269" s="16" t="n"/>
      <c r="D269" s="17" t="n"/>
      <c r="E269" s="18">
        <f>IFERROR($C269/$D269,"")</f>
        <v/>
      </c>
      <c r="F269" s="19" t="n"/>
      <c r="G269" s="19" t="n"/>
      <c r="H269" s="19" t="n"/>
      <c r="I269" s="15">
        <f>IF($A269="","",TEXT($A269,"yyyy/mm"))</f>
        <v/>
      </c>
    </row>
    <row r="270">
      <c r="A270" s="14" t="n"/>
      <c r="B270" s="15">
        <f>IF($A270="","",TEXT($A270,"aaa"))</f>
        <v/>
      </c>
      <c r="C270" s="16" t="n"/>
      <c r="D270" s="17" t="n"/>
      <c r="E270" s="18">
        <f>IFERROR($C270/$D270,"")</f>
        <v/>
      </c>
      <c r="F270" s="19" t="n"/>
      <c r="G270" s="19" t="n"/>
      <c r="H270" s="19" t="n"/>
      <c r="I270" s="15">
        <f>IF($A270="","",TEXT($A270,"yyyy/mm"))</f>
        <v/>
      </c>
    </row>
    <row r="271">
      <c r="A271" s="14" t="n"/>
      <c r="B271" s="15">
        <f>IF($A271="","",TEXT($A271,"aaa"))</f>
        <v/>
      </c>
      <c r="C271" s="16" t="n"/>
      <c r="D271" s="17" t="n"/>
      <c r="E271" s="18">
        <f>IFERROR($C271/$D271,"")</f>
        <v/>
      </c>
      <c r="F271" s="19" t="n"/>
      <c r="G271" s="19" t="n"/>
      <c r="H271" s="19" t="n"/>
      <c r="I271" s="15">
        <f>IF($A271="","",TEXT($A271,"yyyy/mm"))</f>
        <v/>
      </c>
    </row>
    <row r="272">
      <c r="A272" s="14" t="n"/>
      <c r="B272" s="15">
        <f>IF($A272="","",TEXT($A272,"aaa"))</f>
        <v/>
      </c>
      <c r="C272" s="16" t="n"/>
      <c r="D272" s="17" t="n"/>
      <c r="E272" s="18">
        <f>IFERROR($C272/$D272,"")</f>
        <v/>
      </c>
      <c r="F272" s="19" t="n"/>
      <c r="G272" s="19" t="n"/>
      <c r="H272" s="19" t="n"/>
      <c r="I272" s="15">
        <f>IF($A272="","",TEXT($A272,"yyyy/mm"))</f>
        <v/>
      </c>
    </row>
    <row r="273">
      <c r="A273" s="14" t="n"/>
      <c r="B273" s="15">
        <f>IF($A273="","",TEXT($A273,"aaa"))</f>
        <v/>
      </c>
      <c r="C273" s="16" t="n"/>
      <c r="D273" s="17" t="n"/>
      <c r="E273" s="18">
        <f>IFERROR($C273/$D273,"")</f>
        <v/>
      </c>
      <c r="F273" s="19" t="n"/>
      <c r="G273" s="19" t="n"/>
      <c r="H273" s="19" t="n"/>
      <c r="I273" s="15">
        <f>IF($A273="","",TEXT($A273,"yyyy/mm"))</f>
        <v/>
      </c>
    </row>
    <row r="274">
      <c r="A274" s="14" t="n"/>
      <c r="B274" s="15">
        <f>IF($A274="","",TEXT($A274,"aaa"))</f>
        <v/>
      </c>
      <c r="C274" s="16" t="n"/>
      <c r="D274" s="17" t="n"/>
      <c r="E274" s="18">
        <f>IFERROR($C274/$D274,"")</f>
        <v/>
      </c>
      <c r="F274" s="19" t="n"/>
      <c r="G274" s="19" t="n"/>
      <c r="H274" s="19" t="n"/>
      <c r="I274" s="15">
        <f>IF($A274="","",TEXT($A274,"yyyy/mm"))</f>
        <v/>
      </c>
    </row>
    <row r="275">
      <c r="A275" s="14" t="n"/>
      <c r="B275" s="15">
        <f>IF($A275="","",TEXT($A275,"aaa"))</f>
        <v/>
      </c>
      <c r="C275" s="16" t="n"/>
      <c r="D275" s="17" t="n"/>
      <c r="E275" s="18">
        <f>IFERROR($C275/$D275,"")</f>
        <v/>
      </c>
      <c r="F275" s="19" t="n"/>
      <c r="G275" s="19" t="n"/>
      <c r="H275" s="19" t="n"/>
      <c r="I275" s="15">
        <f>IF($A275="","",TEXT($A275,"yyyy/mm"))</f>
        <v/>
      </c>
    </row>
    <row r="276">
      <c r="A276" s="14" t="n"/>
      <c r="B276" s="15">
        <f>IF($A276="","",TEXT($A276,"aaa"))</f>
        <v/>
      </c>
      <c r="C276" s="16" t="n"/>
      <c r="D276" s="17" t="n"/>
      <c r="E276" s="18">
        <f>IFERROR($C276/$D276,"")</f>
        <v/>
      </c>
      <c r="F276" s="19" t="n"/>
      <c r="G276" s="19" t="n"/>
      <c r="H276" s="19" t="n"/>
      <c r="I276" s="15">
        <f>IF($A276="","",TEXT($A276,"yyyy/mm"))</f>
        <v/>
      </c>
    </row>
    <row r="277">
      <c r="A277" s="14" t="n"/>
      <c r="B277" s="15">
        <f>IF($A277="","",TEXT($A277,"aaa"))</f>
        <v/>
      </c>
      <c r="C277" s="16" t="n"/>
      <c r="D277" s="17" t="n"/>
      <c r="E277" s="18">
        <f>IFERROR($C277/$D277,"")</f>
        <v/>
      </c>
      <c r="F277" s="19" t="n"/>
      <c r="G277" s="19" t="n"/>
      <c r="H277" s="19" t="n"/>
      <c r="I277" s="15">
        <f>IF($A277="","",TEXT($A277,"yyyy/mm"))</f>
        <v/>
      </c>
    </row>
    <row r="278">
      <c r="A278" s="14" t="n"/>
      <c r="B278" s="15">
        <f>IF($A278="","",TEXT($A278,"aaa"))</f>
        <v/>
      </c>
      <c r="C278" s="16" t="n"/>
      <c r="D278" s="17" t="n"/>
      <c r="E278" s="18">
        <f>IFERROR($C278/$D278,"")</f>
        <v/>
      </c>
      <c r="F278" s="19" t="n"/>
      <c r="G278" s="19" t="n"/>
      <c r="H278" s="19" t="n"/>
      <c r="I278" s="15">
        <f>IF($A278="","",TEXT($A278,"yyyy/mm"))</f>
        <v/>
      </c>
    </row>
    <row r="279">
      <c r="A279" s="14" t="n"/>
      <c r="B279" s="15">
        <f>IF($A279="","",TEXT($A279,"aaa"))</f>
        <v/>
      </c>
      <c r="C279" s="16" t="n"/>
      <c r="D279" s="17" t="n"/>
      <c r="E279" s="18">
        <f>IFERROR($C279/$D279,"")</f>
        <v/>
      </c>
      <c r="F279" s="19" t="n"/>
      <c r="G279" s="19" t="n"/>
      <c r="H279" s="19" t="n"/>
      <c r="I279" s="15">
        <f>IF($A279="","",TEXT($A279,"yyyy/mm"))</f>
        <v/>
      </c>
    </row>
    <row r="280">
      <c r="A280" s="14" t="n"/>
      <c r="B280" s="15">
        <f>IF($A280="","",TEXT($A280,"aaa"))</f>
        <v/>
      </c>
      <c r="C280" s="16" t="n"/>
      <c r="D280" s="17" t="n"/>
      <c r="E280" s="18">
        <f>IFERROR($C280/$D280,"")</f>
        <v/>
      </c>
      <c r="F280" s="19" t="n"/>
      <c r="G280" s="19" t="n"/>
      <c r="H280" s="19" t="n"/>
      <c r="I280" s="15">
        <f>IF($A280="","",TEXT($A280,"yyyy/mm"))</f>
        <v/>
      </c>
    </row>
    <row r="281">
      <c r="A281" s="14" t="n"/>
      <c r="B281" s="15">
        <f>IF($A281="","",TEXT($A281,"aaa"))</f>
        <v/>
      </c>
      <c r="C281" s="16" t="n"/>
      <c r="D281" s="17" t="n"/>
      <c r="E281" s="18">
        <f>IFERROR($C281/$D281,"")</f>
        <v/>
      </c>
      <c r="F281" s="19" t="n"/>
      <c r="G281" s="19" t="n"/>
      <c r="H281" s="19" t="n"/>
      <c r="I281" s="15">
        <f>IF($A281="","",TEXT($A281,"yyyy/mm"))</f>
        <v/>
      </c>
    </row>
    <row r="282">
      <c r="A282" s="14" t="n"/>
      <c r="B282" s="15">
        <f>IF($A282="","",TEXT($A282,"aaa"))</f>
        <v/>
      </c>
      <c r="C282" s="16" t="n"/>
      <c r="D282" s="17" t="n"/>
      <c r="E282" s="18">
        <f>IFERROR($C282/$D282,"")</f>
        <v/>
      </c>
      <c r="F282" s="19" t="n"/>
      <c r="G282" s="19" t="n"/>
      <c r="H282" s="19" t="n"/>
      <c r="I282" s="15">
        <f>IF($A282="","",TEXT($A282,"yyyy/mm"))</f>
        <v/>
      </c>
    </row>
    <row r="283">
      <c r="A283" s="14" t="n"/>
      <c r="B283" s="15">
        <f>IF($A283="","",TEXT($A283,"aaa"))</f>
        <v/>
      </c>
      <c r="C283" s="16" t="n"/>
      <c r="D283" s="17" t="n"/>
      <c r="E283" s="18">
        <f>IFERROR($C283/$D283,"")</f>
        <v/>
      </c>
      <c r="F283" s="19" t="n"/>
      <c r="G283" s="19" t="n"/>
      <c r="H283" s="19" t="n"/>
      <c r="I283" s="15">
        <f>IF($A283="","",TEXT($A283,"yyyy/mm"))</f>
        <v/>
      </c>
    </row>
    <row r="284">
      <c r="A284" s="14" t="n"/>
      <c r="B284" s="15">
        <f>IF($A284="","",TEXT($A284,"aaa"))</f>
        <v/>
      </c>
      <c r="C284" s="16" t="n"/>
      <c r="D284" s="17" t="n"/>
      <c r="E284" s="18">
        <f>IFERROR($C284/$D284,"")</f>
        <v/>
      </c>
      <c r="F284" s="19" t="n"/>
      <c r="G284" s="19" t="n"/>
      <c r="H284" s="19" t="n"/>
      <c r="I284" s="15">
        <f>IF($A284="","",TEXT($A284,"yyyy/mm"))</f>
        <v/>
      </c>
    </row>
    <row r="285">
      <c r="A285" s="14" t="n"/>
      <c r="B285" s="15">
        <f>IF($A285="","",TEXT($A285,"aaa"))</f>
        <v/>
      </c>
      <c r="C285" s="16" t="n"/>
      <c r="D285" s="17" t="n"/>
      <c r="E285" s="18">
        <f>IFERROR($C285/$D285,"")</f>
        <v/>
      </c>
      <c r="F285" s="19" t="n"/>
      <c r="G285" s="19" t="n"/>
      <c r="H285" s="19" t="n"/>
      <c r="I285" s="15">
        <f>IF($A285="","",TEXT($A285,"yyyy/mm"))</f>
        <v/>
      </c>
    </row>
    <row r="286">
      <c r="A286" s="14" t="n"/>
      <c r="B286" s="15">
        <f>IF($A286="","",TEXT($A286,"aaa"))</f>
        <v/>
      </c>
      <c r="C286" s="16" t="n"/>
      <c r="D286" s="17" t="n"/>
      <c r="E286" s="18">
        <f>IFERROR($C286/$D286,"")</f>
        <v/>
      </c>
      <c r="F286" s="19" t="n"/>
      <c r="G286" s="19" t="n"/>
      <c r="H286" s="19" t="n"/>
      <c r="I286" s="15">
        <f>IF($A286="","",TEXT($A286,"yyyy/mm"))</f>
        <v/>
      </c>
    </row>
    <row r="287">
      <c r="A287" s="14" t="n"/>
      <c r="B287" s="15">
        <f>IF($A287="","",TEXT($A287,"aaa"))</f>
        <v/>
      </c>
      <c r="C287" s="16" t="n"/>
      <c r="D287" s="17" t="n"/>
      <c r="E287" s="18">
        <f>IFERROR($C287/$D287,"")</f>
        <v/>
      </c>
      <c r="F287" s="19" t="n"/>
      <c r="G287" s="19" t="n"/>
      <c r="H287" s="19" t="n"/>
      <c r="I287" s="15">
        <f>IF($A287="","",TEXT($A287,"yyyy/mm"))</f>
        <v/>
      </c>
    </row>
    <row r="288">
      <c r="A288" s="14" t="n"/>
      <c r="B288" s="15">
        <f>IF($A288="","",TEXT($A288,"aaa"))</f>
        <v/>
      </c>
      <c r="C288" s="16" t="n"/>
      <c r="D288" s="17" t="n"/>
      <c r="E288" s="18">
        <f>IFERROR($C288/$D288,"")</f>
        <v/>
      </c>
      <c r="F288" s="19" t="n"/>
      <c r="G288" s="19" t="n"/>
      <c r="H288" s="19" t="n"/>
      <c r="I288" s="15">
        <f>IF($A288="","",TEXT($A288,"yyyy/mm"))</f>
        <v/>
      </c>
    </row>
    <row r="289">
      <c r="A289" s="14" t="n"/>
      <c r="B289" s="15">
        <f>IF($A289="","",TEXT($A289,"aaa"))</f>
        <v/>
      </c>
      <c r="C289" s="16" t="n"/>
      <c r="D289" s="17" t="n"/>
      <c r="E289" s="18">
        <f>IFERROR($C289/$D289,"")</f>
        <v/>
      </c>
      <c r="F289" s="19" t="n"/>
      <c r="G289" s="19" t="n"/>
      <c r="H289" s="19" t="n"/>
      <c r="I289" s="15">
        <f>IF($A289="","",TEXT($A289,"yyyy/mm"))</f>
        <v/>
      </c>
    </row>
    <row r="290">
      <c r="A290" s="14" t="n"/>
      <c r="B290" s="15">
        <f>IF($A290="","",TEXT($A290,"aaa"))</f>
        <v/>
      </c>
      <c r="C290" s="16" t="n"/>
      <c r="D290" s="17" t="n"/>
      <c r="E290" s="18">
        <f>IFERROR($C290/$D290,"")</f>
        <v/>
      </c>
      <c r="F290" s="19" t="n"/>
      <c r="G290" s="19" t="n"/>
      <c r="H290" s="19" t="n"/>
      <c r="I290" s="15">
        <f>IF($A290="","",TEXT($A290,"yyyy/mm"))</f>
        <v/>
      </c>
    </row>
    <row r="291">
      <c r="A291" s="14" t="n"/>
      <c r="B291" s="15">
        <f>IF($A291="","",TEXT($A291,"aaa"))</f>
        <v/>
      </c>
      <c r="C291" s="16" t="n"/>
      <c r="D291" s="17" t="n"/>
      <c r="E291" s="18">
        <f>IFERROR($C291/$D291,"")</f>
        <v/>
      </c>
      <c r="F291" s="19" t="n"/>
      <c r="G291" s="19" t="n"/>
      <c r="H291" s="19" t="n"/>
      <c r="I291" s="15">
        <f>IF($A291="","",TEXT($A291,"yyyy/mm"))</f>
        <v/>
      </c>
    </row>
    <row r="292">
      <c r="A292" s="14" t="n"/>
      <c r="B292" s="15">
        <f>IF($A292="","",TEXT($A292,"aaa"))</f>
        <v/>
      </c>
      <c r="C292" s="16" t="n"/>
      <c r="D292" s="17" t="n"/>
      <c r="E292" s="18">
        <f>IFERROR($C292/$D292,"")</f>
        <v/>
      </c>
      <c r="F292" s="19" t="n"/>
      <c r="G292" s="19" t="n"/>
      <c r="H292" s="19" t="n"/>
      <c r="I292" s="15">
        <f>IF($A292="","",TEXT($A292,"yyyy/mm"))</f>
        <v/>
      </c>
    </row>
    <row r="293">
      <c r="A293" s="14" t="n"/>
      <c r="B293" s="15">
        <f>IF($A293="","",TEXT($A293,"aaa"))</f>
        <v/>
      </c>
      <c r="C293" s="16" t="n"/>
      <c r="D293" s="17" t="n"/>
      <c r="E293" s="18">
        <f>IFERROR($C293/$D293,"")</f>
        <v/>
      </c>
      <c r="F293" s="19" t="n"/>
      <c r="G293" s="19" t="n"/>
      <c r="H293" s="19" t="n"/>
      <c r="I293" s="15">
        <f>IF($A293="","",TEXT($A293,"yyyy/mm"))</f>
        <v/>
      </c>
    </row>
    <row r="294">
      <c r="A294" s="14" t="n"/>
      <c r="B294" s="15">
        <f>IF($A294="","",TEXT($A294,"aaa"))</f>
        <v/>
      </c>
      <c r="C294" s="16" t="n"/>
      <c r="D294" s="17" t="n"/>
      <c r="E294" s="18">
        <f>IFERROR($C294/$D294,"")</f>
        <v/>
      </c>
      <c r="F294" s="19" t="n"/>
      <c r="G294" s="19" t="n"/>
      <c r="H294" s="19" t="n"/>
      <c r="I294" s="15">
        <f>IF($A294="","",TEXT($A294,"yyyy/mm"))</f>
        <v/>
      </c>
    </row>
    <row r="295">
      <c r="A295" s="14" t="n"/>
      <c r="B295" s="15">
        <f>IF($A295="","",TEXT($A295,"aaa"))</f>
        <v/>
      </c>
      <c r="C295" s="16" t="n"/>
      <c r="D295" s="17" t="n"/>
      <c r="E295" s="18">
        <f>IFERROR($C295/$D295,"")</f>
        <v/>
      </c>
      <c r="F295" s="19" t="n"/>
      <c r="G295" s="19" t="n"/>
      <c r="H295" s="19" t="n"/>
      <c r="I295" s="15">
        <f>IF($A295="","",TEXT($A295,"yyyy/mm"))</f>
        <v/>
      </c>
    </row>
    <row r="296">
      <c r="A296" s="14" t="n"/>
      <c r="B296" s="15">
        <f>IF($A296="","",TEXT($A296,"aaa"))</f>
        <v/>
      </c>
      <c r="C296" s="16" t="n"/>
      <c r="D296" s="17" t="n"/>
      <c r="E296" s="18">
        <f>IFERROR($C296/$D296,"")</f>
        <v/>
      </c>
      <c r="F296" s="19" t="n"/>
      <c r="G296" s="19" t="n"/>
      <c r="H296" s="19" t="n"/>
      <c r="I296" s="15">
        <f>IF($A296="","",TEXT($A296,"yyyy/mm"))</f>
        <v/>
      </c>
    </row>
    <row r="297">
      <c r="A297" s="14" t="n"/>
      <c r="B297" s="15">
        <f>IF($A297="","",TEXT($A297,"aaa"))</f>
        <v/>
      </c>
      <c r="C297" s="16" t="n"/>
      <c r="D297" s="17" t="n"/>
      <c r="E297" s="18">
        <f>IFERROR($C297/$D297,"")</f>
        <v/>
      </c>
      <c r="F297" s="19" t="n"/>
      <c r="G297" s="19" t="n"/>
      <c r="H297" s="19" t="n"/>
      <c r="I297" s="15">
        <f>IF($A297="","",TEXT($A297,"yyyy/mm"))</f>
        <v/>
      </c>
    </row>
    <row r="298">
      <c r="A298" s="14" t="n"/>
      <c r="B298" s="15">
        <f>IF($A298="","",TEXT($A298,"aaa"))</f>
        <v/>
      </c>
      <c r="C298" s="16" t="n"/>
      <c r="D298" s="17" t="n"/>
      <c r="E298" s="18">
        <f>IFERROR($C298/$D298,"")</f>
        <v/>
      </c>
      <c r="F298" s="19" t="n"/>
      <c r="G298" s="19" t="n"/>
      <c r="H298" s="19" t="n"/>
      <c r="I298" s="15">
        <f>IF($A298="","",TEXT($A298,"yyyy/mm"))</f>
        <v/>
      </c>
    </row>
    <row r="299">
      <c r="A299" s="14" t="n"/>
      <c r="B299" s="15">
        <f>IF($A299="","",TEXT($A299,"aaa"))</f>
        <v/>
      </c>
      <c r="C299" s="16" t="n"/>
      <c r="D299" s="17" t="n"/>
      <c r="E299" s="18">
        <f>IFERROR($C299/$D299,"")</f>
        <v/>
      </c>
      <c r="F299" s="19" t="n"/>
      <c r="G299" s="19" t="n"/>
      <c r="H299" s="19" t="n"/>
      <c r="I299" s="15">
        <f>IF($A299="","",TEXT($A299,"yyyy/mm"))</f>
        <v/>
      </c>
    </row>
    <row r="300">
      <c r="A300" s="14" t="n"/>
      <c r="B300" s="15">
        <f>IF($A300="","",TEXT($A300,"aaa"))</f>
        <v/>
      </c>
      <c r="C300" s="16" t="n"/>
      <c r="D300" s="17" t="n"/>
      <c r="E300" s="18">
        <f>IFERROR($C300/$D300,"")</f>
        <v/>
      </c>
      <c r="F300" s="19" t="n"/>
      <c r="G300" s="19" t="n"/>
      <c r="H300" s="19" t="n"/>
      <c r="I300" s="15">
        <f>IF($A300="","",TEXT($A300,"yyyy/mm"))</f>
        <v/>
      </c>
    </row>
    <row r="301">
      <c r="A301" s="14" t="n"/>
      <c r="B301" s="15">
        <f>IF($A301="","",TEXT($A301,"aaa"))</f>
        <v/>
      </c>
      <c r="C301" s="16" t="n"/>
      <c r="D301" s="17" t="n"/>
      <c r="E301" s="18">
        <f>IFERROR($C301/$D301,"")</f>
        <v/>
      </c>
      <c r="F301" s="19" t="n"/>
      <c r="G301" s="19" t="n"/>
      <c r="H301" s="19" t="n"/>
      <c r="I301" s="15">
        <f>IF($A301="","",TEXT($A301,"yyyy/mm"))</f>
        <v/>
      </c>
    </row>
    <row r="302">
      <c r="A302" s="14" t="n"/>
      <c r="B302" s="15">
        <f>IF($A302="","",TEXT($A302,"aaa"))</f>
        <v/>
      </c>
      <c r="C302" s="16" t="n"/>
      <c r="D302" s="17" t="n"/>
      <c r="E302" s="18">
        <f>IFERROR($C302/$D302,"")</f>
        <v/>
      </c>
      <c r="F302" s="19" t="n"/>
      <c r="G302" s="19" t="n"/>
      <c r="H302" s="19" t="n"/>
      <c r="I302" s="15">
        <f>IF($A302="","",TEXT($A302,"yyyy/mm"))</f>
        <v/>
      </c>
    </row>
    <row r="303">
      <c r="A303" s="14" t="n"/>
      <c r="B303" s="15">
        <f>IF($A303="","",TEXT($A303,"aaa"))</f>
        <v/>
      </c>
      <c r="C303" s="16" t="n"/>
      <c r="D303" s="17" t="n"/>
      <c r="E303" s="18">
        <f>IFERROR($C303/$D303,"")</f>
        <v/>
      </c>
      <c r="F303" s="19" t="n"/>
      <c r="G303" s="19" t="n"/>
      <c r="H303" s="19" t="n"/>
      <c r="I303" s="15">
        <f>IF($A303="","",TEXT($A303,"yyyy/mm"))</f>
        <v/>
      </c>
    </row>
    <row r="304">
      <c r="A304" s="14" t="n"/>
      <c r="B304" s="15">
        <f>IF($A304="","",TEXT($A304,"aaa"))</f>
        <v/>
      </c>
      <c r="C304" s="16" t="n"/>
      <c r="D304" s="17" t="n"/>
      <c r="E304" s="18">
        <f>IFERROR($C304/$D304,"")</f>
        <v/>
      </c>
      <c r="F304" s="19" t="n"/>
      <c r="G304" s="19" t="n"/>
      <c r="H304" s="19" t="n"/>
      <c r="I304" s="15">
        <f>IF($A304="","",TEXT($A304,"yyyy/mm"))</f>
        <v/>
      </c>
    </row>
    <row r="305">
      <c r="A305" s="14" t="n"/>
      <c r="B305" s="15">
        <f>IF($A305="","",TEXT($A305,"aaa"))</f>
        <v/>
      </c>
      <c r="C305" s="16" t="n"/>
      <c r="D305" s="17" t="n"/>
      <c r="E305" s="18">
        <f>IFERROR($C305/$D305,"")</f>
        <v/>
      </c>
      <c r="F305" s="19" t="n"/>
      <c r="G305" s="19" t="n"/>
      <c r="H305" s="19" t="n"/>
      <c r="I305" s="15">
        <f>IF($A305="","",TEXT($A305,"yyyy/mm"))</f>
        <v/>
      </c>
    </row>
    <row r="306">
      <c r="A306" s="14" t="n"/>
      <c r="B306" s="15">
        <f>IF($A306="","",TEXT($A306,"aaa"))</f>
        <v/>
      </c>
      <c r="C306" s="16" t="n"/>
      <c r="D306" s="17" t="n"/>
      <c r="E306" s="18">
        <f>IFERROR($C306/$D306,"")</f>
        <v/>
      </c>
      <c r="F306" s="19" t="n"/>
      <c r="G306" s="19" t="n"/>
      <c r="H306" s="19" t="n"/>
      <c r="I306" s="15">
        <f>IF($A306="","",TEXT($A306,"yyyy/mm"))</f>
        <v/>
      </c>
    </row>
    <row r="307">
      <c r="A307" s="14" t="n"/>
      <c r="B307" s="15">
        <f>IF($A307="","",TEXT($A307,"aaa"))</f>
        <v/>
      </c>
      <c r="C307" s="16" t="n"/>
      <c r="D307" s="17" t="n"/>
      <c r="E307" s="18">
        <f>IFERROR($C307/$D307,"")</f>
        <v/>
      </c>
      <c r="F307" s="19" t="n"/>
      <c r="G307" s="19" t="n"/>
      <c r="H307" s="19" t="n"/>
      <c r="I307" s="15">
        <f>IF($A307="","",TEXT($A307,"yyyy/mm"))</f>
        <v/>
      </c>
    </row>
    <row r="308">
      <c r="A308" s="14" t="n"/>
      <c r="B308" s="15">
        <f>IF($A308="","",TEXT($A308,"aaa"))</f>
        <v/>
      </c>
      <c r="C308" s="16" t="n"/>
      <c r="D308" s="17" t="n"/>
      <c r="E308" s="18">
        <f>IFERROR($C308/$D308,"")</f>
        <v/>
      </c>
      <c r="F308" s="19" t="n"/>
      <c r="G308" s="19" t="n"/>
      <c r="H308" s="19" t="n"/>
      <c r="I308" s="15">
        <f>IF($A308="","",TEXT($A308,"yyyy/mm"))</f>
        <v/>
      </c>
    </row>
    <row r="309">
      <c r="A309" s="14" t="n"/>
      <c r="B309" s="15">
        <f>IF($A309="","",TEXT($A309,"aaa"))</f>
        <v/>
      </c>
      <c r="C309" s="16" t="n"/>
      <c r="D309" s="17" t="n"/>
      <c r="E309" s="18">
        <f>IFERROR($C309/$D309,"")</f>
        <v/>
      </c>
      <c r="F309" s="19" t="n"/>
      <c r="G309" s="19" t="n"/>
      <c r="H309" s="19" t="n"/>
      <c r="I309" s="15">
        <f>IF($A309="","",TEXT($A309,"yyyy/mm"))</f>
        <v/>
      </c>
    </row>
    <row r="310">
      <c r="A310" s="14" t="n"/>
      <c r="B310" s="15">
        <f>IF($A310="","",TEXT($A310,"aaa"))</f>
        <v/>
      </c>
      <c r="C310" s="16" t="n"/>
      <c r="D310" s="17" t="n"/>
      <c r="E310" s="18">
        <f>IFERROR($C310/$D310,"")</f>
        <v/>
      </c>
      <c r="F310" s="19" t="n"/>
      <c r="G310" s="19" t="n"/>
      <c r="H310" s="19" t="n"/>
      <c r="I310" s="15">
        <f>IF($A310="","",TEXT($A310,"yyyy/mm"))</f>
        <v/>
      </c>
    </row>
    <row r="311">
      <c r="A311" s="14" t="n"/>
      <c r="B311" s="15">
        <f>IF($A311="","",TEXT($A311,"aaa"))</f>
        <v/>
      </c>
      <c r="C311" s="16" t="n"/>
      <c r="D311" s="17" t="n"/>
      <c r="E311" s="18">
        <f>IFERROR($C311/$D311,"")</f>
        <v/>
      </c>
      <c r="F311" s="19" t="n"/>
      <c r="G311" s="19" t="n"/>
      <c r="H311" s="19" t="n"/>
      <c r="I311" s="15">
        <f>IF($A311="","",TEXT($A311,"yyyy/mm"))</f>
        <v/>
      </c>
    </row>
    <row r="312">
      <c r="A312" s="14" t="n"/>
      <c r="B312" s="15">
        <f>IF($A312="","",TEXT($A312,"aaa"))</f>
        <v/>
      </c>
      <c r="C312" s="16" t="n"/>
      <c r="D312" s="17" t="n"/>
      <c r="E312" s="18">
        <f>IFERROR($C312/$D312,"")</f>
        <v/>
      </c>
      <c r="F312" s="19" t="n"/>
      <c r="G312" s="19" t="n"/>
      <c r="H312" s="19" t="n"/>
      <c r="I312" s="15">
        <f>IF($A312="","",TEXT($A312,"yyyy/mm"))</f>
        <v/>
      </c>
    </row>
    <row r="313">
      <c r="A313" s="14" t="n"/>
      <c r="B313" s="15">
        <f>IF($A313="","",TEXT($A313,"aaa"))</f>
        <v/>
      </c>
      <c r="C313" s="16" t="n"/>
      <c r="D313" s="17" t="n"/>
      <c r="E313" s="18">
        <f>IFERROR($C313/$D313,"")</f>
        <v/>
      </c>
      <c r="F313" s="19" t="n"/>
      <c r="G313" s="19" t="n"/>
      <c r="H313" s="19" t="n"/>
      <c r="I313" s="15">
        <f>IF($A313="","",TEXT($A313,"yyyy/mm"))</f>
        <v/>
      </c>
    </row>
    <row r="314">
      <c r="A314" s="14" t="n"/>
      <c r="B314" s="15">
        <f>IF($A314="","",TEXT($A314,"aaa"))</f>
        <v/>
      </c>
      <c r="C314" s="16" t="n"/>
      <c r="D314" s="17" t="n"/>
      <c r="E314" s="18">
        <f>IFERROR($C314/$D314,"")</f>
        <v/>
      </c>
      <c r="F314" s="19" t="n"/>
      <c r="G314" s="19" t="n"/>
      <c r="H314" s="19" t="n"/>
      <c r="I314" s="15">
        <f>IF($A314="","",TEXT($A314,"yyyy/mm"))</f>
        <v/>
      </c>
    </row>
    <row r="315">
      <c r="A315" s="14" t="n"/>
      <c r="B315" s="15">
        <f>IF($A315="","",TEXT($A315,"aaa"))</f>
        <v/>
      </c>
      <c r="C315" s="16" t="n"/>
      <c r="D315" s="17" t="n"/>
      <c r="E315" s="18">
        <f>IFERROR($C315/$D315,"")</f>
        <v/>
      </c>
      <c r="F315" s="19" t="n"/>
      <c r="G315" s="19" t="n"/>
      <c r="H315" s="19" t="n"/>
      <c r="I315" s="15">
        <f>IF($A315="","",TEXT($A315,"yyyy/mm"))</f>
        <v/>
      </c>
    </row>
    <row r="316">
      <c r="A316" s="14" t="n"/>
      <c r="B316" s="15">
        <f>IF($A316="","",TEXT($A316,"aaa"))</f>
        <v/>
      </c>
      <c r="C316" s="16" t="n"/>
      <c r="D316" s="17" t="n"/>
      <c r="E316" s="18">
        <f>IFERROR($C316/$D316,"")</f>
        <v/>
      </c>
      <c r="F316" s="19" t="n"/>
      <c r="G316" s="19" t="n"/>
      <c r="H316" s="19" t="n"/>
      <c r="I316" s="15">
        <f>IF($A316="","",TEXT($A316,"yyyy/mm"))</f>
        <v/>
      </c>
    </row>
    <row r="317">
      <c r="A317" s="14" t="n"/>
      <c r="B317" s="15">
        <f>IF($A317="","",TEXT($A317,"aaa"))</f>
        <v/>
      </c>
      <c r="C317" s="16" t="n"/>
      <c r="D317" s="17" t="n"/>
      <c r="E317" s="18">
        <f>IFERROR($C317/$D317,"")</f>
        <v/>
      </c>
      <c r="F317" s="19" t="n"/>
      <c r="G317" s="19" t="n"/>
      <c r="H317" s="19" t="n"/>
      <c r="I317" s="15">
        <f>IF($A317="","",TEXT($A317,"yyyy/mm"))</f>
        <v/>
      </c>
    </row>
    <row r="318">
      <c r="A318" s="14" t="n"/>
      <c r="B318" s="15">
        <f>IF($A318="","",TEXT($A318,"aaa"))</f>
        <v/>
      </c>
      <c r="C318" s="16" t="n"/>
      <c r="D318" s="17" t="n"/>
      <c r="E318" s="18">
        <f>IFERROR($C318/$D318,"")</f>
        <v/>
      </c>
      <c r="F318" s="19" t="n"/>
      <c r="G318" s="19" t="n"/>
      <c r="H318" s="19" t="n"/>
      <c r="I318" s="15">
        <f>IF($A318="","",TEXT($A318,"yyyy/mm"))</f>
        <v/>
      </c>
    </row>
    <row r="319">
      <c r="A319" s="14" t="n"/>
      <c r="B319" s="15">
        <f>IF($A319="","",TEXT($A319,"aaa"))</f>
        <v/>
      </c>
      <c r="C319" s="16" t="n"/>
      <c r="D319" s="17" t="n"/>
      <c r="E319" s="18">
        <f>IFERROR($C319/$D319,"")</f>
        <v/>
      </c>
      <c r="F319" s="19" t="n"/>
      <c r="G319" s="19" t="n"/>
      <c r="H319" s="19" t="n"/>
      <c r="I319" s="15">
        <f>IF($A319="","",TEXT($A319,"yyyy/mm"))</f>
        <v/>
      </c>
    </row>
    <row r="320">
      <c r="A320" s="14" t="n"/>
      <c r="B320" s="15">
        <f>IF($A320="","",TEXT($A320,"aaa"))</f>
        <v/>
      </c>
      <c r="C320" s="16" t="n"/>
      <c r="D320" s="17" t="n"/>
      <c r="E320" s="18">
        <f>IFERROR($C320/$D320,"")</f>
        <v/>
      </c>
      <c r="F320" s="19" t="n"/>
      <c r="G320" s="19" t="n"/>
      <c r="H320" s="19" t="n"/>
      <c r="I320" s="15">
        <f>IF($A320="","",TEXT($A320,"yyyy/mm"))</f>
        <v/>
      </c>
    </row>
    <row r="321">
      <c r="A321" s="14" t="n"/>
      <c r="B321" s="15">
        <f>IF($A321="","",TEXT($A321,"aaa"))</f>
        <v/>
      </c>
      <c r="C321" s="16" t="n"/>
      <c r="D321" s="17" t="n"/>
      <c r="E321" s="18">
        <f>IFERROR($C321/$D321,"")</f>
        <v/>
      </c>
      <c r="F321" s="19" t="n"/>
      <c r="G321" s="19" t="n"/>
      <c r="H321" s="19" t="n"/>
      <c r="I321" s="15">
        <f>IF($A321="","",TEXT($A321,"yyyy/mm"))</f>
        <v/>
      </c>
    </row>
    <row r="322">
      <c r="A322" s="14" t="n"/>
      <c r="B322" s="15">
        <f>IF($A322="","",TEXT($A322,"aaa"))</f>
        <v/>
      </c>
      <c r="C322" s="16" t="n"/>
      <c r="D322" s="17" t="n"/>
      <c r="E322" s="18">
        <f>IFERROR($C322/$D322,"")</f>
        <v/>
      </c>
      <c r="F322" s="19" t="n"/>
      <c r="G322" s="19" t="n"/>
      <c r="H322" s="19" t="n"/>
      <c r="I322" s="15">
        <f>IF($A322="","",TEXT($A322,"yyyy/mm"))</f>
        <v/>
      </c>
    </row>
    <row r="323">
      <c r="A323" s="14" t="n"/>
      <c r="B323" s="15">
        <f>IF($A323="","",TEXT($A323,"aaa"))</f>
        <v/>
      </c>
      <c r="C323" s="16" t="n"/>
      <c r="D323" s="17" t="n"/>
      <c r="E323" s="18">
        <f>IFERROR($C323/$D323,"")</f>
        <v/>
      </c>
      <c r="F323" s="19" t="n"/>
      <c r="G323" s="19" t="n"/>
      <c r="H323" s="19" t="n"/>
      <c r="I323" s="15">
        <f>IF($A323="","",TEXT($A323,"yyyy/mm"))</f>
        <v/>
      </c>
    </row>
    <row r="324">
      <c r="A324" s="14" t="n"/>
      <c r="B324" s="15">
        <f>IF($A324="","",TEXT($A324,"aaa"))</f>
        <v/>
      </c>
      <c r="C324" s="16" t="n"/>
      <c r="D324" s="17" t="n"/>
      <c r="E324" s="18">
        <f>IFERROR($C324/$D324,"")</f>
        <v/>
      </c>
      <c r="F324" s="19" t="n"/>
      <c r="G324" s="19" t="n"/>
      <c r="H324" s="19" t="n"/>
      <c r="I324" s="15">
        <f>IF($A324="","",TEXT($A324,"yyyy/mm"))</f>
        <v/>
      </c>
    </row>
    <row r="325">
      <c r="A325" s="14" t="n"/>
      <c r="B325" s="15">
        <f>IF($A325="","",TEXT($A325,"aaa"))</f>
        <v/>
      </c>
      <c r="C325" s="16" t="n"/>
      <c r="D325" s="17" t="n"/>
      <c r="E325" s="18">
        <f>IFERROR($C325/$D325,"")</f>
        <v/>
      </c>
      <c r="F325" s="19" t="n"/>
      <c r="G325" s="19" t="n"/>
      <c r="H325" s="19" t="n"/>
      <c r="I325" s="15">
        <f>IF($A325="","",TEXT($A325,"yyyy/mm"))</f>
        <v/>
      </c>
    </row>
    <row r="326">
      <c r="A326" s="14" t="n"/>
      <c r="B326" s="15">
        <f>IF($A326="","",TEXT($A326,"aaa"))</f>
        <v/>
      </c>
      <c r="C326" s="16" t="n"/>
      <c r="D326" s="17" t="n"/>
      <c r="E326" s="18">
        <f>IFERROR($C326/$D326,"")</f>
        <v/>
      </c>
      <c r="F326" s="19" t="n"/>
      <c r="G326" s="19" t="n"/>
      <c r="H326" s="19" t="n"/>
      <c r="I326" s="15">
        <f>IF($A326="","",TEXT($A326,"yyyy/mm"))</f>
        <v/>
      </c>
    </row>
    <row r="327">
      <c r="A327" s="14" t="n"/>
      <c r="B327" s="15">
        <f>IF($A327="","",TEXT($A327,"aaa"))</f>
        <v/>
      </c>
      <c r="C327" s="16" t="n"/>
      <c r="D327" s="17" t="n"/>
      <c r="E327" s="18">
        <f>IFERROR($C327/$D327,"")</f>
        <v/>
      </c>
      <c r="F327" s="19" t="n"/>
      <c r="G327" s="19" t="n"/>
      <c r="H327" s="19" t="n"/>
      <c r="I327" s="15">
        <f>IF($A327="","",TEXT($A327,"yyyy/mm"))</f>
        <v/>
      </c>
    </row>
    <row r="328">
      <c r="A328" s="14" t="n"/>
      <c r="B328" s="15">
        <f>IF($A328="","",TEXT($A328,"aaa"))</f>
        <v/>
      </c>
      <c r="C328" s="16" t="n"/>
      <c r="D328" s="17" t="n"/>
      <c r="E328" s="18">
        <f>IFERROR($C328/$D328,"")</f>
        <v/>
      </c>
      <c r="F328" s="19" t="n"/>
      <c r="G328" s="19" t="n"/>
      <c r="H328" s="19" t="n"/>
      <c r="I328" s="15">
        <f>IF($A328="","",TEXT($A328,"yyyy/mm"))</f>
        <v/>
      </c>
    </row>
    <row r="329">
      <c r="A329" s="14" t="n"/>
      <c r="B329" s="15">
        <f>IF($A329="","",TEXT($A329,"aaa"))</f>
        <v/>
      </c>
      <c r="C329" s="16" t="n"/>
      <c r="D329" s="17" t="n"/>
      <c r="E329" s="18">
        <f>IFERROR($C329/$D329,"")</f>
        <v/>
      </c>
      <c r="F329" s="19" t="n"/>
      <c r="G329" s="19" t="n"/>
      <c r="H329" s="19" t="n"/>
      <c r="I329" s="15">
        <f>IF($A329="","",TEXT($A329,"yyyy/mm"))</f>
        <v/>
      </c>
    </row>
    <row r="330">
      <c r="A330" s="14" t="n"/>
      <c r="B330" s="15">
        <f>IF($A330="","",TEXT($A330,"aaa"))</f>
        <v/>
      </c>
      <c r="C330" s="16" t="n"/>
      <c r="D330" s="17" t="n"/>
      <c r="E330" s="18">
        <f>IFERROR($C330/$D330,"")</f>
        <v/>
      </c>
      <c r="F330" s="19" t="n"/>
      <c r="G330" s="19" t="n"/>
      <c r="H330" s="19" t="n"/>
      <c r="I330" s="15">
        <f>IF($A330="","",TEXT($A330,"yyyy/mm"))</f>
        <v/>
      </c>
    </row>
    <row r="331">
      <c r="A331" s="14" t="n"/>
      <c r="B331" s="15">
        <f>IF($A331="","",TEXT($A331,"aaa"))</f>
        <v/>
      </c>
      <c r="C331" s="16" t="n"/>
      <c r="D331" s="17" t="n"/>
      <c r="E331" s="18">
        <f>IFERROR($C331/$D331,"")</f>
        <v/>
      </c>
      <c r="F331" s="19" t="n"/>
      <c r="G331" s="19" t="n"/>
      <c r="H331" s="19" t="n"/>
      <c r="I331" s="15">
        <f>IF($A331="","",TEXT($A331,"yyyy/mm"))</f>
        <v/>
      </c>
    </row>
    <row r="332">
      <c r="A332" s="14" t="n"/>
      <c r="B332" s="15">
        <f>IF($A332="","",TEXT($A332,"aaa"))</f>
        <v/>
      </c>
      <c r="C332" s="16" t="n"/>
      <c r="D332" s="17" t="n"/>
      <c r="E332" s="18">
        <f>IFERROR($C332/$D332,"")</f>
        <v/>
      </c>
      <c r="F332" s="19" t="n"/>
      <c r="G332" s="19" t="n"/>
      <c r="H332" s="19" t="n"/>
      <c r="I332" s="15">
        <f>IF($A332="","",TEXT($A332,"yyyy/mm"))</f>
        <v/>
      </c>
    </row>
    <row r="333">
      <c r="A333" s="14" t="n"/>
      <c r="B333" s="15">
        <f>IF($A333="","",TEXT($A333,"aaa"))</f>
        <v/>
      </c>
      <c r="C333" s="16" t="n"/>
      <c r="D333" s="17" t="n"/>
      <c r="E333" s="18">
        <f>IFERROR($C333/$D333,"")</f>
        <v/>
      </c>
      <c r="F333" s="19" t="n"/>
      <c r="G333" s="19" t="n"/>
      <c r="H333" s="19" t="n"/>
      <c r="I333" s="15">
        <f>IF($A333="","",TEXT($A333,"yyyy/mm"))</f>
        <v/>
      </c>
    </row>
    <row r="334">
      <c r="A334" s="14" t="n"/>
      <c r="B334" s="15">
        <f>IF($A334="","",TEXT($A334,"aaa"))</f>
        <v/>
      </c>
      <c r="C334" s="16" t="n"/>
      <c r="D334" s="17" t="n"/>
      <c r="E334" s="18">
        <f>IFERROR($C334/$D334,"")</f>
        <v/>
      </c>
      <c r="F334" s="19" t="n"/>
      <c r="G334" s="19" t="n"/>
      <c r="H334" s="19" t="n"/>
      <c r="I334" s="15">
        <f>IF($A334="","",TEXT($A334,"yyyy/mm"))</f>
        <v/>
      </c>
    </row>
    <row r="335">
      <c r="A335" s="14" t="n"/>
      <c r="B335" s="15">
        <f>IF($A335="","",TEXT($A335,"aaa"))</f>
        <v/>
      </c>
      <c r="C335" s="16" t="n"/>
      <c r="D335" s="17" t="n"/>
      <c r="E335" s="18">
        <f>IFERROR($C335/$D335,"")</f>
        <v/>
      </c>
      <c r="F335" s="19" t="n"/>
      <c r="G335" s="19" t="n"/>
      <c r="H335" s="19" t="n"/>
      <c r="I335" s="15">
        <f>IF($A335="","",TEXT($A335,"yyyy/mm"))</f>
        <v/>
      </c>
    </row>
    <row r="336">
      <c r="A336" s="14" t="n"/>
      <c r="B336" s="15">
        <f>IF($A336="","",TEXT($A336,"aaa"))</f>
        <v/>
      </c>
      <c r="C336" s="16" t="n"/>
      <c r="D336" s="17" t="n"/>
      <c r="E336" s="18">
        <f>IFERROR($C336/$D336,"")</f>
        <v/>
      </c>
      <c r="F336" s="19" t="n"/>
      <c r="G336" s="19" t="n"/>
      <c r="H336" s="19" t="n"/>
      <c r="I336" s="15">
        <f>IF($A336="","",TEXT($A336,"yyyy/mm"))</f>
        <v/>
      </c>
    </row>
    <row r="337">
      <c r="A337" s="14" t="n"/>
      <c r="B337" s="15">
        <f>IF($A337="","",TEXT($A337,"aaa"))</f>
        <v/>
      </c>
      <c r="C337" s="16" t="n"/>
      <c r="D337" s="17" t="n"/>
      <c r="E337" s="18">
        <f>IFERROR($C337/$D337,"")</f>
        <v/>
      </c>
      <c r="F337" s="19" t="n"/>
      <c r="G337" s="19" t="n"/>
      <c r="H337" s="19" t="n"/>
      <c r="I337" s="15">
        <f>IF($A337="","",TEXT($A337,"yyyy/mm"))</f>
        <v/>
      </c>
    </row>
    <row r="338">
      <c r="A338" s="14" t="n"/>
      <c r="B338" s="15">
        <f>IF($A338="","",TEXT($A338,"aaa"))</f>
        <v/>
      </c>
      <c r="C338" s="16" t="n"/>
      <c r="D338" s="17" t="n"/>
      <c r="E338" s="18">
        <f>IFERROR($C338/$D338,"")</f>
        <v/>
      </c>
      <c r="F338" s="19" t="n"/>
      <c r="G338" s="19" t="n"/>
      <c r="H338" s="19" t="n"/>
      <c r="I338" s="15">
        <f>IF($A338="","",TEXT($A338,"yyyy/mm"))</f>
        <v/>
      </c>
    </row>
    <row r="339">
      <c r="A339" s="14" t="n"/>
      <c r="B339" s="15">
        <f>IF($A339="","",TEXT($A339,"aaa"))</f>
        <v/>
      </c>
      <c r="C339" s="16" t="n"/>
      <c r="D339" s="17" t="n"/>
      <c r="E339" s="18">
        <f>IFERROR($C339/$D339,"")</f>
        <v/>
      </c>
      <c r="F339" s="19" t="n"/>
      <c r="G339" s="19" t="n"/>
      <c r="H339" s="19" t="n"/>
      <c r="I339" s="15">
        <f>IF($A339="","",TEXT($A339,"yyyy/mm"))</f>
        <v/>
      </c>
    </row>
    <row r="340">
      <c r="A340" s="14" t="n"/>
      <c r="B340" s="15">
        <f>IF($A340="","",TEXT($A340,"aaa"))</f>
        <v/>
      </c>
      <c r="C340" s="16" t="n"/>
      <c r="D340" s="17" t="n"/>
      <c r="E340" s="18">
        <f>IFERROR($C340/$D340,"")</f>
        <v/>
      </c>
      <c r="F340" s="19" t="n"/>
      <c r="G340" s="19" t="n"/>
      <c r="H340" s="19" t="n"/>
      <c r="I340" s="15">
        <f>IF($A340="","",TEXT($A340,"yyyy/mm"))</f>
        <v/>
      </c>
    </row>
    <row r="341">
      <c r="A341" s="14" t="n"/>
      <c r="B341" s="15">
        <f>IF($A341="","",TEXT($A341,"aaa"))</f>
        <v/>
      </c>
      <c r="C341" s="16" t="n"/>
      <c r="D341" s="17" t="n"/>
      <c r="E341" s="18">
        <f>IFERROR($C341/$D341,"")</f>
        <v/>
      </c>
      <c r="F341" s="19" t="n"/>
      <c r="G341" s="19" t="n"/>
      <c r="H341" s="19" t="n"/>
      <c r="I341" s="15">
        <f>IF($A341="","",TEXT($A341,"yyyy/mm"))</f>
        <v/>
      </c>
    </row>
    <row r="342">
      <c r="A342" s="14" t="n"/>
      <c r="B342" s="15">
        <f>IF($A342="","",TEXT($A342,"aaa"))</f>
        <v/>
      </c>
      <c r="C342" s="16" t="n"/>
      <c r="D342" s="17" t="n"/>
      <c r="E342" s="18">
        <f>IFERROR($C342/$D342,"")</f>
        <v/>
      </c>
      <c r="F342" s="19" t="n"/>
      <c r="G342" s="19" t="n"/>
      <c r="H342" s="19" t="n"/>
      <c r="I342" s="15">
        <f>IF($A342="","",TEXT($A342,"yyyy/mm"))</f>
        <v/>
      </c>
    </row>
    <row r="343">
      <c r="A343" s="14" t="n"/>
      <c r="B343" s="15">
        <f>IF($A343="","",TEXT($A343,"aaa"))</f>
        <v/>
      </c>
      <c r="C343" s="16" t="n"/>
      <c r="D343" s="17" t="n"/>
      <c r="E343" s="18">
        <f>IFERROR($C343/$D343,"")</f>
        <v/>
      </c>
      <c r="F343" s="19" t="n"/>
      <c r="G343" s="19" t="n"/>
      <c r="H343" s="19" t="n"/>
      <c r="I343" s="15">
        <f>IF($A343="","",TEXT($A343,"yyyy/mm"))</f>
        <v/>
      </c>
    </row>
    <row r="344">
      <c r="A344" s="14" t="n"/>
      <c r="B344" s="15">
        <f>IF($A344="","",TEXT($A344,"aaa"))</f>
        <v/>
      </c>
      <c r="C344" s="16" t="n"/>
      <c r="D344" s="17" t="n"/>
      <c r="E344" s="18">
        <f>IFERROR($C344/$D344,"")</f>
        <v/>
      </c>
      <c r="F344" s="19" t="n"/>
      <c r="G344" s="19" t="n"/>
      <c r="H344" s="19" t="n"/>
      <c r="I344" s="15">
        <f>IF($A344="","",TEXT($A344,"yyyy/mm"))</f>
        <v/>
      </c>
    </row>
    <row r="345">
      <c r="A345" s="14" t="n"/>
      <c r="B345" s="15">
        <f>IF($A345="","",TEXT($A345,"aaa"))</f>
        <v/>
      </c>
      <c r="C345" s="16" t="n"/>
      <c r="D345" s="17" t="n"/>
      <c r="E345" s="18">
        <f>IFERROR($C345/$D345,"")</f>
        <v/>
      </c>
      <c r="F345" s="19" t="n"/>
      <c r="G345" s="19" t="n"/>
      <c r="H345" s="19" t="n"/>
      <c r="I345" s="15">
        <f>IF($A345="","",TEXT($A345,"yyyy/mm"))</f>
        <v/>
      </c>
    </row>
    <row r="346">
      <c r="A346" s="14" t="n"/>
      <c r="B346" s="15">
        <f>IF($A346="","",TEXT($A346,"aaa"))</f>
        <v/>
      </c>
      <c r="C346" s="16" t="n"/>
      <c r="D346" s="17" t="n"/>
      <c r="E346" s="18">
        <f>IFERROR($C346/$D346,"")</f>
        <v/>
      </c>
      <c r="F346" s="19" t="n"/>
      <c r="G346" s="19" t="n"/>
      <c r="H346" s="19" t="n"/>
      <c r="I346" s="15">
        <f>IF($A346="","",TEXT($A346,"yyyy/mm"))</f>
        <v/>
      </c>
    </row>
    <row r="347">
      <c r="A347" s="14" t="n"/>
      <c r="B347" s="15">
        <f>IF($A347="","",TEXT($A347,"aaa"))</f>
        <v/>
      </c>
      <c r="C347" s="16" t="n"/>
      <c r="D347" s="17" t="n"/>
      <c r="E347" s="18">
        <f>IFERROR($C347/$D347,"")</f>
        <v/>
      </c>
      <c r="F347" s="19" t="n"/>
      <c r="G347" s="19" t="n"/>
      <c r="H347" s="19" t="n"/>
      <c r="I347" s="15">
        <f>IF($A347="","",TEXT($A347,"yyyy/mm"))</f>
        <v/>
      </c>
    </row>
    <row r="348">
      <c r="A348" s="14" t="n"/>
      <c r="B348" s="15">
        <f>IF($A348="","",TEXT($A348,"aaa"))</f>
        <v/>
      </c>
      <c r="C348" s="16" t="n"/>
      <c r="D348" s="17" t="n"/>
      <c r="E348" s="18">
        <f>IFERROR($C348/$D348,"")</f>
        <v/>
      </c>
      <c r="F348" s="19" t="n"/>
      <c r="G348" s="19" t="n"/>
      <c r="H348" s="19" t="n"/>
      <c r="I348" s="15">
        <f>IF($A348="","",TEXT($A348,"yyyy/mm"))</f>
        <v/>
      </c>
    </row>
    <row r="349">
      <c r="A349" s="14" t="n"/>
      <c r="B349" s="15">
        <f>IF($A349="","",TEXT($A349,"aaa"))</f>
        <v/>
      </c>
      <c r="C349" s="16" t="n"/>
      <c r="D349" s="17" t="n"/>
      <c r="E349" s="18">
        <f>IFERROR($C349/$D349,"")</f>
        <v/>
      </c>
      <c r="F349" s="19" t="n"/>
      <c r="G349" s="19" t="n"/>
      <c r="H349" s="19" t="n"/>
      <c r="I349" s="15">
        <f>IF($A349="","",TEXT($A349,"yyyy/mm"))</f>
        <v/>
      </c>
    </row>
    <row r="350">
      <c r="A350" s="14" t="n"/>
      <c r="B350" s="15">
        <f>IF($A350="","",TEXT($A350,"aaa"))</f>
        <v/>
      </c>
      <c r="C350" s="16" t="n"/>
      <c r="D350" s="17" t="n"/>
      <c r="E350" s="18">
        <f>IFERROR($C350/$D350,"")</f>
        <v/>
      </c>
      <c r="F350" s="19" t="n"/>
      <c r="G350" s="19" t="n"/>
      <c r="H350" s="19" t="n"/>
      <c r="I350" s="15">
        <f>IF($A350="","",TEXT($A350,"yyyy/mm"))</f>
        <v/>
      </c>
    </row>
    <row r="351">
      <c r="A351" s="14" t="n"/>
      <c r="B351" s="15">
        <f>IF($A351="","",TEXT($A351,"aaa"))</f>
        <v/>
      </c>
      <c r="C351" s="16" t="n"/>
      <c r="D351" s="17" t="n"/>
      <c r="E351" s="18">
        <f>IFERROR($C351/$D351,"")</f>
        <v/>
      </c>
      <c r="F351" s="19" t="n"/>
      <c r="G351" s="19" t="n"/>
      <c r="H351" s="19" t="n"/>
      <c r="I351" s="15">
        <f>IF($A351="","",TEXT($A351,"yyyy/mm"))</f>
        <v/>
      </c>
    </row>
    <row r="352">
      <c r="A352" s="14" t="n"/>
      <c r="B352" s="15">
        <f>IF($A352="","",TEXT($A352,"aaa"))</f>
        <v/>
      </c>
      <c r="C352" s="16" t="n"/>
      <c r="D352" s="17" t="n"/>
      <c r="E352" s="18">
        <f>IFERROR($C352/$D352,"")</f>
        <v/>
      </c>
      <c r="F352" s="19" t="n"/>
      <c r="G352" s="19" t="n"/>
      <c r="H352" s="19" t="n"/>
      <c r="I352" s="15">
        <f>IF($A352="","",TEXT($A352,"yyyy/mm"))</f>
        <v/>
      </c>
    </row>
    <row r="353">
      <c r="A353" s="14" t="n"/>
      <c r="B353" s="15">
        <f>IF($A353="","",TEXT($A353,"aaa"))</f>
        <v/>
      </c>
      <c r="C353" s="16" t="n"/>
      <c r="D353" s="17" t="n"/>
      <c r="E353" s="18">
        <f>IFERROR($C353/$D353,"")</f>
        <v/>
      </c>
      <c r="F353" s="19" t="n"/>
      <c r="G353" s="19" t="n"/>
      <c r="H353" s="19" t="n"/>
      <c r="I353" s="15">
        <f>IF($A353="","",TEXT($A353,"yyyy/mm"))</f>
        <v/>
      </c>
    </row>
    <row r="354">
      <c r="A354" s="14" t="n"/>
      <c r="B354" s="15">
        <f>IF($A354="","",TEXT($A354,"aaa"))</f>
        <v/>
      </c>
      <c r="C354" s="16" t="n"/>
      <c r="D354" s="17" t="n"/>
      <c r="E354" s="18">
        <f>IFERROR($C354/$D354,"")</f>
        <v/>
      </c>
      <c r="F354" s="19" t="n"/>
      <c r="G354" s="19" t="n"/>
      <c r="H354" s="19" t="n"/>
      <c r="I354" s="15">
        <f>IF($A354="","",TEXT($A354,"yyyy/mm"))</f>
        <v/>
      </c>
    </row>
    <row r="355">
      <c r="A355" s="14" t="n"/>
      <c r="B355" s="15">
        <f>IF($A355="","",TEXT($A355,"aaa"))</f>
        <v/>
      </c>
      <c r="C355" s="16" t="n"/>
      <c r="D355" s="17" t="n"/>
      <c r="E355" s="18">
        <f>IFERROR($C355/$D355,"")</f>
        <v/>
      </c>
      <c r="F355" s="19" t="n"/>
      <c r="G355" s="19" t="n"/>
      <c r="H355" s="19" t="n"/>
      <c r="I355" s="15">
        <f>IF($A355="","",TEXT($A355,"yyyy/mm"))</f>
        <v/>
      </c>
    </row>
    <row r="356">
      <c r="A356" s="14" t="n"/>
      <c r="B356" s="15">
        <f>IF($A356="","",TEXT($A356,"aaa"))</f>
        <v/>
      </c>
      <c r="C356" s="16" t="n"/>
      <c r="D356" s="17" t="n"/>
      <c r="E356" s="18">
        <f>IFERROR($C356/$D356,"")</f>
        <v/>
      </c>
      <c r="F356" s="19" t="n"/>
      <c r="G356" s="19" t="n"/>
      <c r="H356" s="19" t="n"/>
      <c r="I356" s="15">
        <f>IF($A356="","",TEXT($A356,"yyyy/mm"))</f>
        <v/>
      </c>
    </row>
    <row r="357">
      <c r="A357" s="14" t="n"/>
      <c r="B357" s="15">
        <f>IF($A357="","",TEXT($A357,"aaa"))</f>
        <v/>
      </c>
      <c r="C357" s="16" t="n"/>
      <c r="D357" s="17" t="n"/>
      <c r="E357" s="18">
        <f>IFERROR($C357/$D357,"")</f>
        <v/>
      </c>
      <c r="F357" s="19" t="n"/>
      <c r="G357" s="19" t="n"/>
      <c r="H357" s="19" t="n"/>
      <c r="I357" s="15">
        <f>IF($A357="","",TEXT($A357,"yyyy/mm"))</f>
        <v/>
      </c>
    </row>
    <row r="358">
      <c r="A358" s="14" t="n"/>
      <c r="B358" s="15">
        <f>IF($A358="","",TEXT($A358,"aaa"))</f>
        <v/>
      </c>
      <c r="C358" s="16" t="n"/>
      <c r="D358" s="17" t="n"/>
      <c r="E358" s="18">
        <f>IFERROR($C358/$D358,"")</f>
        <v/>
      </c>
      <c r="F358" s="19" t="n"/>
      <c r="G358" s="19" t="n"/>
      <c r="H358" s="19" t="n"/>
      <c r="I358" s="15">
        <f>IF($A358="","",TEXT($A358,"yyyy/mm"))</f>
        <v/>
      </c>
    </row>
    <row r="359">
      <c r="A359" s="14" t="n"/>
      <c r="B359" s="15">
        <f>IF($A359="","",TEXT($A359,"aaa"))</f>
        <v/>
      </c>
      <c r="C359" s="16" t="n"/>
      <c r="D359" s="17" t="n"/>
      <c r="E359" s="18">
        <f>IFERROR($C359/$D359,"")</f>
        <v/>
      </c>
      <c r="F359" s="19" t="n"/>
      <c r="G359" s="19" t="n"/>
      <c r="H359" s="19" t="n"/>
      <c r="I359" s="15">
        <f>IF($A359="","",TEXT($A359,"yyyy/mm"))</f>
        <v/>
      </c>
    </row>
    <row r="360">
      <c r="A360" s="14" t="n"/>
      <c r="B360" s="15">
        <f>IF($A360="","",TEXT($A360,"aaa"))</f>
        <v/>
      </c>
      <c r="C360" s="16" t="n"/>
      <c r="D360" s="17" t="n"/>
      <c r="E360" s="18">
        <f>IFERROR($C360/$D360,"")</f>
        <v/>
      </c>
      <c r="F360" s="19" t="n"/>
      <c r="G360" s="19" t="n"/>
      <c r="H360" s="19" t="n"/>
      <c r="I360" s="15">
        <f>IF($A360="","",TEXT($A360,"yyyy/mm"))</f>
        <v/>
      </c>
    </row>
    <row r="361">
      <c r="A361" s="14" t="n"/>
      <c r="B361" s="15">
        <f>IF($A361="","",TEXT($A361,"aaa"))</f>
        <v/>
      </c>
      <c r="C361" s="16" t="n"/>
      <c r="D361" s="17" t="n"/>
      <c r="E361" s="18">
        <f>IFERROR($C361/$D361,"")</f>
        <v/>
      </c>
      <c r="F361" s="19" t="n"/>
      <c r="G361" s="19" t="n"/>
      <c r="H361" s="19" t="n"/>
      <c r="I361" s="15">
        <f>IF($A361="","",TEXT($A361,"yyyy/mm"))</f>
        <v/>
      </c>
    </row>
    <row r="362">
      <c r="A362" s="14" t="n"/>
      <c r="B362" s="15">
        <f>IF($A362="","",TEXT($A362,"aaa"))</f>
        <v/>
      </c>
      <c r="C362" s="16" t="n"/>
      <c r="D362" s="17" t="n"/>
      <c r="E362" s="18">
        <f>IFERROR($C362/$D362,"")</f>
        <v/>
      </c>
      <c r="F362" s="19" t="n"/>
      <c r="G362" s="19" t="n"/>
      <c r="H362" s="19" t="n"/>
      <c r="I362" s="15">
        <f>IF($A362="","",TEXT($A362,"yyyy/mm"))</f>
        <v/>
      </c>
    </row>
    <row r="363">
      <c r="A363" s="14" t="n"/>
      <c r="B363" s="15">
        <f>IF($A363="","",TEXT($A363,"aaa"))</f>
        <v/>
      </c>
      <c r="C363" s="16" t="n"/>
      <c r="D363" s="17" t="n"/>
      <c r="E363" s="18">
        <f>IFERROR($C363/$D363,"")</f>
        <v/>
      </c>
      <c r="F363" s="19" t="n"/>
      <c r="G363" s="19" t="n"/>
      <c r="H363" s="19" t="n"/>
      <c r="I363" s="15">
        <f>IF($A363="","",TEXT($A363,"yyyy/mm"))</f>
        <v/>
      </c>
    </row>
    <row r="364">
      <c r="A364" s="14" t="n"/>
      <c r="B364" s="15">
        <f>IF($A364="","",TEXT($A364,"aaa"))</f>
        <v/>
      </c>
      <c r="C364" s="16" t="n"/>
      <c r="D364" s="17" t="n"/>
      <c r="E364" s="18">
        <f>IFERROR($C364/$D364,"")</f>
        <v/>
      </c>
      <c r="F364" s="19" t="n"/>
      <c r="G364" s="19" t="n"/>
      <c r="H364" s="19" t="n"/>
      <c r="I364" s="15">
        <f>IF($A364="","",TEXT($A364,"yyyy/mm"))</f>
        <v/>
      </c>
    </row>
    <row r="365">
      <c r="A365" s="14" t="n"/>
      <c r="B365" s="15">
        <f>IF($A365="","",TEXT($A365,"aaa"))</f>
        <v/>
      </c>
      <c r="C365" s="16" t="n"/>
      <c r="D365" s="17" t="n"/>
      <c r="E365" s="18">
        <f>IFERROR($C365/$D365,"")</f>
        <v/>
      </c>
      <c r="F365" s="19" t="n"/>
      <c r="G365" s="19" t="n"/>
      <c r="H365" s="19" t="n"/>
      <c r="I365" s="15">
        <f>IF($A365="","",TEXT($A365,"yyyy/mm"))</f>
        <v/>
      </c>
    </row>
    <row r="366">
      <c r="A366" s="14" t="n"/>
      <c r="B366" s="15">
        <f>IF($A366="","",TEXT($A366,"aaa"))</f>
        <v/>
      </c>
      <c r="C366" s="16" t="n"/>
      <c r="D366" s="17" t="n"/>
      <c r="E366" s="18">
        <f>IFERROR($C366/$D366,"")</f>
        <v/>
      </c>
      <c r="F366" s="19" t="n"/>
      <c r="G366" s="19" t="n"/>
      <c r="H366" s="19" t="n"/>
      <c r="I366" s="15">
        <f>IF($A366="","",TEXT($A366,"yyyy/mm"))</f>
        <v/>
      </c>
    </row>
    <row r="367">
      <c r="A367" s="14" t="n"/>
      <c r="B367" s="15">
        <f>IF($A367="","",TEXT($A367,"aaa"))</f>
        <v/>
      </c>
      <c r="C367" s="16" t="n"/>
      <c r="D367" s="17" t="n"/>
      <c r="E367" s="18">
        <f>IFERROR($C367/$D367,"")</f>
        <v/>
      </c>
      <c r="F367" s="19" t="n"/>
      <c r="G367" s="19" t="n"/>
      <c r="H367" s="19" t="n"/>
      <c r="I367" s="15">
        <f>IF($A367="","",TEXT($A367,"yyyy/mm"))</f>
        <v/>
      </c>
    </row>
    <row r="368">
      <c r="A368" s="14" t="n"/>
      <c r="B368" s="15">
        <f>IF($A368="","",TEXT($A368,"aaa"))</f>
        <v/>
      </c>
      <c r="C368" s="16" t="n"/>
      <c r="D368" s="17" t="n"/>
      <c r="E368" s="18">
        <f>IFERROR($C368/$D368,"")</f>
        <v/>
      </c>
      <c r="F368" s="19" t="n"/>
      <c r="G368" s="19" t="n"/>
      <c r="H368" s="19" t="n"/>
      <c r="I368" s="15">
        <f>IF($A368="","",TEXT($A368,"yyyy/mm"))</f>
        <v/>
      </c>
    </row>
    <row r="369">
      <c r="A369" s="14" t="n"/>
      <c r="B369" s="15">
        <f>IF($A369="","",TEXT($A369,"aaa"))</f>
        <v/>
      </c>
      <c r="C369" s="16" t="n"/>
      <c r="D369" s="17" t="n"/>
      <c r="E369" s="18">
        <f>IFERROR($C369/$D369,"")</f>
        <v/>
      </c>
      <c r="F369" s="19" t="n"/>
      <c r="G369" s="19" t="n"/>
      <c r="H369" s="19" t="n"/>
      <c r="I369" s="15">
        <f>IF($A369="","",TEXT($A369,"yyyy/mm"))</f>
        <v/>
      </c>
    </row>
    <row r="370">
      <c r="A370" s="14" t="n"/>
      <c r="B370" s="15">
        <f>IF($A370="","",TEXT($A370,"aaa"))</f>
        <v/>
      </c>
      <c r="C370" s="16" t="n"/>
      <c r="D370" s="17" t="n"/>
      <c r="E370" s="18">
        <f>IFERROR($C370/$D370,"")</f>
        <v/>
      </c>
      <c r="F370" s="19" t="n"/>
      <c r="G370" s="19" t="n"/>
      <c r="H370" s="19" t="n"/>
      <c r="I370" s="15">
        <f>IF($A370="","",TEXT($A370,"yyyy/mm"))</f>
        <v/>
      </c>
    </row>
    <row r="371">
      <c r="A371" s="14" t="n"/>
      <c r="B371" s="15">
        <f>IF($A371="","",TEXT($A371,"aaa"))</f>
        <v/>
      </c>
      <c r="C371" s="16" t="n"/>
      <c r="D371" s="17" t="n"/>
      <c r="E371" s="18">
        <f>IFERROR($C371/$D371,"")</f>
        <v/>
      </c>
      <c r="F371" s="19" t="n"/>
      <c r="G371" s="19" t="n"/>
      <c r="H371" s="19" t="n"/>
      <c r="I371" s="15">
        <f>IF($A371="","",TEXT($A371,"yyyy/mm"))</f>
        <v/>
      </c>
    </row>
    <row r="372">
      <c r="A372" s="14" t="n"/>
      <c r="B372" s="15">
        <f>IF($A372="","",TEXT($A372,"aaa"))</f>
        <v/>
      </c>
      <c r="C372" s="16" t="n"/>
      <c r="D372" s="17" t="n"/>
      <c r="E372" s="18">
        <f>IFERROR($C372/$D372,"")</f>
        <v/>
      </c>
      <c r="F372" s="19" t="n"/>
      <c r="G372" s="19" t="n"/>
      <c r="H372" s="19" t="n"/>
      <c r="I372" s="15">
        <f>IF($A372="","",TEXT($A372,"yyyy/mm"))</f>
        <v/>
      </c>
    </row>
    <row r="373">
      <c r="A373" s="14" t="n"/>
      <c r="B373" s="15">
        <f>IF($A373="","",TEXT($A373,"aaa"))</f>
        <v/>
      </c>
      <c r="C373" s="16" t="n"/>
      <c r="D373" s="17" t="n"/>
      <c r="E373" s="18">
        <f>IFERROR($C373/$D373,"")</f>
        <v/>
      </c>
      <c r="F373" s="19" t="n"/>
      <c r="G373" s="19" t="n"/>
      <c r="H373" s="19" t="n"/>
      <c r="I373" s="15">
        <f>IF($A373="","",TEXT($A373,"yyyy/mm"))</f>
        <v/>
      </c>
    </row>
    <row r="374">
      <c r="A374" s="14" t="n"/>
      <c r="B374" s="15">
        <f>IF($A374="","",TEXT($A374,"aaa"))</f>
        <v/>
      </c>
      <c r="C374" s="16" t="n"/>
      <c r="D374" s="17" t="n"/>
      <c r="E374" s="18">
        <f>IFERROR($C374/$D374,"")</f>
        <v/>
      </c>
      <c r="F374" s="19" t="n"/>
      <c r="G374" s="19" t="n"/>
      <c r="H374" s="19" t="n"/>
      <c r="I374" s="15">
        <f>IF($A374="","",TEXT($A374,"yyyy/mm"))</f>
        <v/>
      </c>
    </row>
    <row r="375">
      <c r="A375" s="14" t="n"/>
      <c r="B375" s="15">
        <f>IF($A375="","",TEXT($A375,"aaa"))</f>
        <v/>
      </c>
      <c r="C375" s="16" t="n"/>
      <c r="D375" s="17" t="n"/>
      <c r="E375" s="18">
        <f>IFERROR($C375/$D375,"")</f>
        <v/>
      </c>
      <c r="F375" s="19" t="n"/>
      <c r="G375" s="19" t="n"/>
      <c r="H375" s="19" t="n"/>
      <c r="I375" s="15">
        <f>IF($A375="","",TEXT($A375,"yyyy/mm"))</f>
        <v/>
      </c>
    </row>
    <row r="376">
      <c r="A376" s="14" t="n"/>
      <c r="B376" s="15">
        <f>IF($A376="","",TEXT($A376,"aaa"))</f>
        <v/>
      </c>
      <c r="C376" s="16" t="n"/>
      <c r="D376" s="17" t="n"/>
      <c r="E376" s="18">
        <f>IFERROR($C376/$D376,"")</f>
        <v/>
      </c>
      <c r="F376" s="19" t="n"/>
      <c r="G376" s="19" t="n"/>
      <c r="H376" s="19" t="n"/>
      <c r="I376" s="15">
        <f>IF($A376="","",TEXT($A376,"yyyy/mm"))</f>
        <v/>
      </c>
    </row>
    <row r="377">
      <c r="A377" s="14" t="n"/>
      <c r="B377" s="15">
        <f>IF($A377="","",TEXT($A377,"aaa"))</f>
        <v/>
      </c>
      <c r="C377" s="16" t="n"/>
      <c r="D377" s="17" t="n"/>
      <c r="E377" s="18">
        <f>IFERROR($C377/$D377,"")</f>
        <v/>
      </c>
      <c r="F377" s="19" t="n"/>
      <c r="G377" s="19" t="n"/>
      <c r="H377" s="19" t="n"/>
      <c r="I377" s="15">
        <f>IF($A377="","",TEXT($A377,"yyyy/mm"))</f>
        <v/>
      </c>
    </row>
    <row r="378">
      <c r="A378" s="14" t="n"/>
      <c r="B378" s="15">
        <f>IF($A378="","",TEXT($A378,"aaa"))</f>
        <v/>
      </c>
      <c r="C378" s="16" t="n"/>
      <c r="D378" s="17" t="n"/>
      <c r="E378" s="18">
        <f>IFERROR($C378/$D378,"")</f>
        <v/>
      </c>
      <c r="F378" s="19" t="n"/>
      <c r="G378" s="19" t="n"/>
      <c r="H378" s="19" t="n"/>
      <c r="I378" s="15">
        <f>IF($A378="","",TEXT($A378,"yyyy/mm"))</f>
        <v/>
      </c>
    </row>
    <row r="379">
      <c r="A379" s="14" t="n"/>
      <c r="B379" s="15">
        <f>IF($A379="","",TEXT($A379,"aaa"))</f>
        <v/>
      </c>
      <c r="C379" s="16" t="n"/>
      <c r="D379" s="17" t="n"/>
      <c r="E379" s="18">
        <f>IFERROR($C379/$D379,"")</f>
        <v/>
      </c>
      <c r="F379" s="19" t="n"/>
      <c r="G379" s="19" t="n"/>
      <c r="H379" s="19" t="n"/>
      <c r="I379" s="15">
        <f>IF($A379="","",TEXT($A379,"yyyy/mm"))</f>
        <v/>
      </c>
    </row>
    <row r="380">
      <c r="A380" s="14" t="n"/>
      <c r="B380" s="15">
        <f>IF($A380="","",TEXT($A380,"aaa"))</f>
        <v/>
      </c>
      <c r="C380" s="16" t="n"/>
      <c r="D380" s="17" t="n"/>
      <c r="E380" s="18">
        <f>IFERROR($C380/$D380,"")</f>
        <v/>
      </c>
      <c r="F380" s="19" t="n"/>
      <c r="G380" s="19" t="n"/>
      <c r="H380" s="19" t="n"/>
      <c r="I380" s="15">
        <f>IF($A380="","",TEXT($A380,"yyyy/mm"))</f>
        <v/>
      </c>
    </row>
    <row r="381">
      <c r="A381" s="14" t="n"/>
      <c r="B381" s="15">
        <f>IF($A381="","",TEXT($A381,"aaa"))</f>
        <v/>
      </c>
      <c r="C381" s="16" t="n"/>
      <c r="D381" s="17" t="n"/>
      <c r="E381" s="18">
        <f>IFERROR($C381/$D381,"")</f>
        <v/>
      </c>
      <c r="F381" s="19" t="n"/>
      <c r="G381" s="19" t="n"/>
      <c r="H381" s="19" t="n"/>
      <c r="I381" s="15">
        <f>IF($A381="","",TEXT($A381,"yyyy/mm"))</f>
        <v/>
      </c>
    </row>
    <row r="382">
      <c r="A382" s="14" t="n"/>
      <c r="B382" s="15">
        <f>IF($A382="","",TEXT($A382,"aaa"))</f>
        <v/>
      </c>
      <c r="C382" s="16" t="n"/>
      <c r="D382" s="17" t="n"/>
      <c r="E382" s="18">
        <f>IFERROR($C382/$D382,"")</f>
        <v/>
      </c>
      <c r="F382" s="19" t="n"/>
      <c r="G382" s="19" t="n"/>
      <c r="H382" s="19" t="n"/>
      <c r="I382" s="15">
        <f>IF($A382="","",TEXT($A382,"yyyy/mm"))</f>
        <v/>
      </c>
    </row>
    <row r="383">
      <c r="A383" s="14" t="n"/>
      <c r="B383" s="15">
        <f>IF($A383="","",TEXT($A383,"aaa"))</f>
        <v/>
      </c>
      <c r="C383" s="16" t="n"/>
      <c r="D383" s="17" t="n"/>
      <c r="E383" s="18">
        <f>IFERROR($C383/$D383,"")</f>
        <v/>
      </c>
      <c r="F383" s="19" t="n"/>
      <c r="G383" s="19" t="n"/>
      <c r="H383" s="19" t="n"/>
      <c r="I383" s="15">
        <f>IF($A383="","",TEXT($A383,"yyyy/mm"))</f>
        <v/>
      </c>
    </row>
    <row r="384">
      <c r="A384" s="14" t="n"/>
      <c r="B384" s="15">
        <f>IF($A384="","",TEXT($A384,"aaa"))</f>
        <v/>
      </c>
      <c r="C384" s="16" t="n"/>
      <c r="D384" s="17" t="n"/>
      <c r="E384" s="18">
        <f>IFERROR($C384/$D384,"")</f>
        <v/>
      </c>
      <c r="F384" s="19" t="n"/>
      <c r="G384" s="19" t="n"/>
      <c r="H384" s="19" t="n"/>
      <c r="I384" s="15">
        <f>IF($A384="","",TEXT($A384,"yyyy/mm"))</f>
        <v/>
      </c>
    </row>
    <row r="385">
      <c r="A385" s="14" t="n"/>
      <c r="B385" s="15">
        <f>IF($A385="","",TEXT($A385,"aaa"))</f>
        <v/>
      </c>
      <c r="C385" s="16" t="n"/>
      <c r="D385" s="17" t="n"/>
      <c r="E385" s="18">
        <f>IFERROR($C385/$D385,"")</f>
        <v/>
      </c>
      <c r="F385" s="19" t="n"/>
      <c r="G385" s="19" t="n"/>
      <c r="H385" s="19" t="n"/>
      <c r="I385" s="15">
        <f>IF($A385="","",TEXT($A385,"yyyy/mm"))</f>
        <v/>
      </c>
    </row>
    <row r="386">
      <c r="A386" s="14" t="n"/>
      <c r="B386" s="15">
        <f>IF($A386="","",TEXT($A386,"aaa"))</f>
        <v/>
      </c>
      <c r="C386" s="16" t="n"/>
      <c r="D386" s="17" t="n"/>
      <c r="E386" s="18">
        <f>IFERROR($C386/$D386,"")</f>
        <v/>
      </c>
      <c r="F386" s="19" t="n"/>
      <c r="G386" s="19" t="n"/>
      <c r="H386" s="19" t="n"/>
      <c r="I386" s="15">
        <f>IF($A386="","",TEXT($A386,"yyyy/mm"))</f>
        <v/>
      </c>
    </row>
    <row r="387">
      <c r="A387" s="14" t="n"/>
      <c r="B387" s="15">
        <f>IF($A387="","",TEXT($A387,"aaa"))</f>
        <v/>
      </c>
      <c r="C387" s="16" t="n"/>
      <c r="D387" s="17" t="n"/>
      <c r="E387" s="18">
        <f>IFERROR($C387/$D387,"")</f>
        <v/>
      </c>
      <c r="F387" s="19" t="n"/>
      <c r="G387" s="19" t="n"/>
      <c r="H387" s="19" t="n"/>
      <c r="I387" s="15">
        <f>IF($A387="","",TEXT($A387,"yyyy/mm"))</f>
        <v/>
      </c>
    </row>
    <row r="388">
      <c r="A388" s="14" t="n"/>
      <c r="B388" s="15">
        <f>IF($A388="","",TEXT($A388,"aaa"))</f>
        <v/>
      </c>
      <c r="C388" s="16" t="n"/>
      <c r="D388" s="17" t="n"/>
      <c r="E388" s="18">
        <f>IFERROR($C388/$D388,"")</f>
        <v/>
      </c>
      <c r="F388" s="19" t="n"/>
      <c r="G388" s="19" t="n"/>
      <c r="H388" s="19" t="n"/>
      <c r="I388" s="15">
        <f>IF($A388="","",TEXT($A388,"yyyy/mm"))</f>
        <v/>
      </c>
    </row>
    <row r="389">
      <c r="A389" s="14" t="n"/>
      <c r="B389" s="15">
        <f>IF($A389="","",TEXT($A389,"aaa"))</f>
        <v/>
      </c>
      <c r="C389" s="16" t="n"/>
      <c r="D389" s="17" t="n"/>
      <c r="E389" s="18">
        <f>IFERROR($C389/$D389,"")</f>
        <v/>
      </c>
      <c r="F389" s="19" t="n"/>
      <c r="G389" s="19" t="n"/>
      <c r="H389" s="19" t="n"/>
      <c r="I389" s="15">
        <f>IF($A389="","",TEXT($A389,"yyyy/mm"))</f>
        <v/>
      </c>
    </row>
    <row r="390">
      <c r="A390" s="14" t="n"/>
      <c r="B390" s="15">
        <f>IF($A390="","",TEXT($A390,"aaa"))</f>
        <v/>
      </c>
      <c r="C390" s="16" t="n"/>
      <c r="D390" s="17" t="n"/>
      <c r="E390" s="18">
        <f>IFERROR($C390/$D390,"")</f>
        <v/>
      </c>
      <c r="F390" s="19" t="n"/>
      <c r="G390" s="19" t="n"/>
      <c r="H390" s="19" t="n"/>
      <c r="I390" s="15">
        <f>IF($A390="","",TEXT($A390,"yyyy/mm"))</f>
        <v/>
      </c>
    </row>
    <row r="391">
      <c r="A391" s="14" t="n"/>
      <c r="B391" s="15">
        <f>IF($A391="","",TEXT($A391,"aaa"))</f>
        <v/>
      </c>
      <c r="C391" s="16" t="n"/>
      <c r="D391" s="17" t="n"/>
      <c r="E391" s="18">
        <f>IFERROR($C391/$D391,"")</f>
        <v/>
      </c>
      <c r="F391" s="19" t="n"/>
      <c r="G391" s="19" t="n"/>
      <c r="H391" s="19" t="n"/>
      <c r="I391" s="15">
        <f>IF($A391="","",TEXT($A391,"yyyy/mm"))</f>
        <v/>
      </c>
    </row>
    <row r="392">
      <c r="A392" s="14" t="n"/>
      <c r="B392" s="15">
        <f>IF($A392="","",TEXT($A392,"aaa"))</f>
        <v/>
      </c>
      <c r="C392" s="16" t="n"/>
      <c r="D392" s="17" t="n"/>
      <c r="E392" s="18">
        <f>IFERROR($C392/$D392,"")</f>
        <v/>
      </c>
      <c r="F392" s="19" t="n"/>
      <c r="G392" s="19" t="n"/>
      <c r="H392" s="19" t="n"/>
      <c r="I392" s="15">
        <f>IF($A392="","",TEXT($A392,"yyyy/mm"))</f>
        <v/>
      </c>
    </row>
    <row r="393">
      <c r="A393" s="14" t="n"/>
      <c r="B393" s="15">
        <f>IF($A393="","",TEXT($A393,"aaa"))</f>
        <v/>
      </c>
      <c r="C393" s="16" t="n"/>
      <c r="D393" s="17" t="n"/>
      <c r="E393" s="18">
        <f>IFERROR($C393/$D393,"")</f>
        <v/>
      </c>
      <c r="F393" s="19" t="n"/>
      <c r="G393" s="19" t="n"/>
      <c r="H393" s="19" t="n"/>
      <c r="I393" s="15">
        <f>IF($A393="","",TEXT($A393,"yyyy/mm"))</f>
        <v/>
      </c>
    </row>
    <row r="394">
      <c r="A394" s="14" t="n"/>
      <c r="B394" s="15">
        <f>IF($A394="","",TEXT($A394,"aaa"))</f>
        <v/>
      </c>
      <c r="C394" s="16" t="n"/>
      <c r="D394" s="17" t="n"/>
      <c r="E394" s="18">
        <f>IFERROR($C394/$D394,"")</f>
        <v/>
      </c>
      <c r="F394" s="19" t="n"/>
      <c r="G394" s="19" t="n"/>
      <c r="H394" s="19" t="n"/>
      <c r="I394" s="15">
        <f>IF($A394="","",TEXT($A394,"yyyy/mm"))</f>
        <v/>
      </c>
    </row>
    <row r="395">
      <c r="A395" s="14" t="n"/>
      <c r="B395" s="15">
        <f>IF($A395="","",TEXT($A395,"aaa"))</f>
        <v/>
      </c>
      <c r="C395" s="16" t="n"/>
      <c r="D395" s="17" t="n"/>
      <c r="E395" s="18">
        <f>IFERROR($C395/$D395,"")</f>
        <v/>
      </c>
      <c r="F395" s="19" t="n"/>
      <c r="G395" s="19" t="n"/>
      <c r="H395" s="19" t="n"/>
      <c r="I395" s="15">
        <f>IF($A395="","",TEXT($A395,"yyyy/mm"))</f>
        <v/>
      </c>
    </row>
    <row r="396">
      <c r="A396" s="14" t="n"/>
      <c r="B396" s="15">
        <f>IF($A396="","",TEXT($A396,"aaa"))</f>
        <v/>
      </c>
      <c r="C396" s="16" t="n"/>
      <c r="D396" s="17" t="n"/>
      <c r="E396" s="18">
        <f>IFERROR($C396/$D396,"")</f>
        <v/>
      </c>
      <c r="F396" s="19" t="n"/>
      <c r="G396" s="19" t="n"/>
      <c r="H396" s="19" t="n"/>
      <c r="I396" s="15">
        <f>IF($A396="","",TEXT($A396,"yyyy/mm"))</f>
        <v/>
      </c>
    </row>
    <row r="397">
      <c r="A397" s="14" t="n"/>
      <c r="B397" s="15">
        <f>IF($A397="","",TEXT($A397,"aaa"))</f>
        <v/>
      </c>
      <c r="C397" s="16" t="n"/>
      <c r="D397" s="17" t="n"/>
      <c r="E397" s="18">
        <f>IFERROR($C397/$D397,"")</f>
        <v/>
      </c>
      <c r="F397" s="19" t="n"/>
      <c r="G397" s="19" t="n"/>
      <c r="H397" s="19" t="n"/>
      <c r="I397" s="15">
        <f>IF($A397="","",TEXT($A397,"yyyy/mm"))</f>
        <v/>
      </c>
    </row>
    <row r="398">
      <c r="A398" s="14" t="n"/>
      <c r="B398" s="15">
        <f>IF($A398="","",TEXT($A398,"aaa"))</f>
        <v/>
      </c>
      <c r="C398" s="16" t="n"/>
      <c r="D398" s="17" t="n"/>
      <c r="E398" s="18">
        <f>IFERROR($C398/$D398,"")</f>
        <v/>
      </c>
      <c r="F398" s="19" t="n"/>
      <c r="G398" s="19" t="n"/>
      <c r="H398" s="19" t="n"/>
      <c r="I398" s="15">
        <f>IF($A398="","",TEXT($A398,"yyyy/mm"))</f>
        <v/>
      </c>
    </row>
    <row r="399">
      <c r="A399" s="14" t="n"/>
      <c r="B399" s="15">
        <f>IF($A399="","",TEXT($A399,"aaa"))</f>
        <v/>
      </c>
      <c r="C399" s="16" t="n"/>
      <c r="D399" s="17" t="n"/>
      <c r="E399" s="18">
        <f>IFERROR($C399/$D399,"")</f>
        <v/>
      </c>
      <c r="F399" s="19" t="n"/>
      <c r="G399" s="19" t="n"/>
      <c r="H399" s="19" t="n"/>
      <c r="I399" s="15">
        <f>IF($A399="","",TEXT($A399,"yyyy/mm"))</f>
        <v/>
      </c>
    </row>
    <row r="400">
      <c r="A400" s="14" t="n"/>
      <c r="B400" s="15">
        <f>IF($A400="","",TEXT($A400,"aaa"))</f>
        <v/>
      </c>
      <c r="C400" s="16" t="n"/>
      <c r="D400" s="17" t="n"/>
      <c r="E400" s="18">
        <f>IFERROR($C400/$D400,"")</f>
        <v/>
      </c>
      <c r="F400" s="19" t="n"/>
      <c r="G400" s="19" t="n"/>
      <c r="H400" s="19" t="n"/>
      <c r="I400" s="15">
        <f>IF($A400="","",TEXT($A400,"yyyy/mm"))</f>
        <v/>
      </c>
    </row>
    <row r="401">
      <c r="A401" s="14" t="n"/>
      <c r="B401" s="15">
        <f>IF($A401="","",TEXT($A401,"aaa"))</f>
        <v/>
      </c>
      <c r="C401" s="16" t="n"/>
      <c r="D401" s="17" t="n"/>
      <c r="E401" s="18">
        <f>IFERROR($C401/$D401,"")</f>
        <v/>
      </c>
      <c r="F401" s="19" t="n"/>
      <c r="G401" s="19" t="n"/>
      <c r="H401" s="19" t="n"/>
      <c r="I401" s="15">
        <f>IF($A401="","",TEXT($A401,"yyyy/mm"))</f>
        <v/>
      </c>
    </row>
    <row r="402">
      <c r="A402" s="14" t="n"/>
      <c r="B402" s="15">
        <f>IF($A402="","",TEXT($A402,"aaa"))</f>
        <v/>
      </c>
      <c r="C402" s="16" t="n"/>
      <c r="D402" s="17" t="n"/>
      <c r="E402" s="18">
        <f>IFERROR($C402/$D402,"")</f>
        <v/>
      </c>
      <c r="F402" s="19" t="n"/>
      <c r="G402" s="19" t="n"/>
      <c r="H402" s="19" t="n"/>
      <c r="I402" s="15">
        <f>IF($A402="","",TEXT($A402,"yyyy/mm"))</f>
        <v/>
      </c>
    </row>
    <row r="403">
      <c r="A403" s="14" t="n"/>
      <c r="B403" s="15">
        <f>IF($A403="","",TEXT($A403,"aaa"))</f>
        <v/>
      </c>
      <c r="C403" s="16" t="n"/>
      <c r="D403" s="17" t="n"/>
      <c r="E403" s="18">
        <f>IFERROR($C403/$D403,"")</f>
        <v/>
      </c>
      <c r="F403" s="19" t="n"/>
      <c r="G403" s="19" t="n"/>
      <c r="H403" s="19" t="n"/>
      <c r="I403" s="15">
        <f>IF($A403="","",TEXT($A403,"yyyy/mm"))</f>
        <v/>
      </c>
    </row>
    <row r="404">
      <c r="A404" s="14" t="n"/>
      <c r="B404" s="15">
        <f>IF($A404="","",TEXT($A404,"aaa"))</f>
        <v/>
      </c>
      <c r="C404" s="16" t="n"/>
      <c r="D404" s="17" t="n"/>
      <c r="E404" s="18">
        <f>IFERROR($C404/$D404,"")</f>
        <v/>
      </c>
      <c r="F404" s="19" t="n"/>
      <c r="G404" s="19" t="n"/>
      <c r="H404" s="19" t="n"/>
      <c r="I404" s="15">
        <f>IF($A404="","",TEXT($A404,"yyyy/mm"))</f>
        <v/>
      </c>
    </row>
    <row r="406">
      <c r="A406" s="2" t="inlineStr">
        <is>
          <t>※ 客単価は 売上 ÷ 来客数。来客数が空のときは何も出ません。</t>
        </is>
      </c>
    </row>
    <row r="407">
      <c r="A407" s="2" t="inlineStr">
        <is>
          <t>※ この表は400行（13か月ぶん）まで数式が入っています。足りなくなったら最終行をコピーして貼り足してください。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0" customWidth="1" min="5" max="5"/>
    <col width="12" customWidth="1" min="6" max="6"/>
    <col width="14" customWidth="1" min="7" max="7"/>
    <col width="10" customWidth="1" min="8" max="8"/>
  </cols>
  <sheetData>
    <row r="1">
      <c r="A1" s="1" t="inlineStr">
        <is>
          <t>売上管理表｜月次集計</t>
        </is>
      </c>
    </row>
    <row r="2">
      <c r="A2" s="2" t="inlineStr">
        <is>
          <t>青い字のセルに入力してください。ほかは日次入力シートから自動で集計されます。</t>
        </is>
      </c>
    </row>
    <row r="4">
      <c r="A4" s="20" t="inlineStr">
        <is>
          <t>集計を始める月</t>
        </is>
      </c>
      <c r="B4" s="21" t="inlineStr">
        <is>
          <t>2026/10/01</t>
        </is>
      </c>
      <c r="C4" s="2" t="inlineStr">
        <is>
          <t>←ここを変えると下の24か月がまとめて動きます</t>
        </is>
      </c>
    </row>
    <row r="6">
      <c r="A6" s="7" t="inlineStr">
        <is>
          <t>月</t>
        </is>
      </c>
      <c r="B6" s="7" t="inlineStr">
        <is>
          <t>売上合計</t>
        </is>
      </c>
      <c r="C6" s="7" t="inlineStr">
        <is>
          <t>来客数合計</t>
        </is>
      </c>
      <c r="D6" s="7" t="inlineStr">
        <is>
          <t>客単価平均</t>
        </is>
      </c>
      <c r="E6" s="7" t="inlineStr">
        <is>
          <t>前月比</t>
        </is>
      </c>
      <c r="F6" s="7" t="inlineStr">
        <is>
          <t>前年同月比</t>
        </is>
      </c>
      <c r="G6" s="7" t="inlineStr">
        <is>
          <t>目標</t>
        </is>
      </c>
      <c r="H6" s="7" t="inlineStr">
        <is>
          <t>達成率</t>
        </is>
      </c>
    </row>
    <row r="7">
      <c r="A7" s="22">
        <f>TEXT(EDATE($B$4,0),"yyyy/mm")</f>
        <v/>
      </c>
      <c r="B7" s="23">
        <f>SUMIF(日次入力!$I$5:$I$404,$A7,日次入力!$C$5:$C$404)</f>
        <v/>
      </c>
      <c r="C7" s="24">
        <f>SUMIF(日次入力!$I$5:$I$404,$A7,日次入力!$D$5:$D$404)</f>
        <v/>
      </c>
      <c r="D7" s="23">
        <f>IFERROR($B7/$C7,"")</f>
        <v/>
      </c>
      <c r="E7" s="25" t="inlineStr"/>
      <c r="F7" s="25" t="inlineStr"/>
      <c r="G7" s="26" t="n"/>
      <c r="H7" s="25">
        <f>IFERROR($B7/$G7,"")</f>
        <v/>
      </c>
    </row>
    <row r="8">
      <c r="A8" s="22">
        <f>TEXT(EDATE($B$4,1),"yyyy/mm")</f>
        <v/>
      </c>
      <c r="B8" s="23">
        <f>SUMIF(日次入力!$I$5:$I$404,$A8,日次入力!$C$5:$C$404)</f>
        <v/>
      </c>
      <c r="C8" s="24">
        <f>SUMIF(日次入力!$I$5:$I$404,$A8,日次入力!$D$5:$D$404)</f>
        <v/>
      </c>
      <c r="D8" s="23">
        <f>IFERROR($B8/$C8,"")</f>
        <v/>
      </c>
      <c r="E8" s="25">
        <f>IFERROR($B8/$B7-1,"")</f>
        <v/>
      </c>
      <c r="F8" s="25" t="inlineStr"/>
      <c r="G8" s="26" t="n"/>
      <c r="H8" s="25">
        <f>IFERROR($B8/$G8,"")</f>
        <v/>
      </c>
    </row>
    <row r="9">
      <c r="A9" s="22">
        <f>TEXT(EDATE($B$4,2),"yyyy/mm")</f>
        <v/>
      </c>
      <c r="B9" s="23">
        <f>SUMIF(日次入力!$I$5:$I$404,$A9,日次入力!$C$5:$C$404)</f>
        <v/>
      </c>
      <c r="C9" s="24">
        <f>SUMIF(日次入力!$I$5:$I$404,$A9,日次入力!$D$5:$D$404)</f>
        <v/>
      </c>
      <c r="D9" s="23">
        <f>IFERROR($B9/$C9,"")</f>
        <v/>
      </c>
      <c r="E9" s="25">
        <f>IFERROR($B9/$B8-1,"")</f>
        <v/>
      </c>
      <c r="F9" s="25" t="inlineStr"/>
      <c r="G9" s="26" t="n"/>
      <c r="H9" s="25">
        <f>IFERROR($B9/$G9,"")</f>
        <v/>
      </c>
    </row>
    <row r="10">
      <c r="A10" s="22">
        <f>TEXT(EDATE($B$4,3),"yyyy/mm")</f>
        <v/>
      </c>
      <c r="B10" s="23">
        <f>SUMIF(日次入力!$I$5:$I$404,$A10,日次入力!$C$5:$C$404)</f>
        <v/>
      </c>
      <c r="C10" s="24">
        <f>SUMIF(日次入力!$I$5:$I$404,$A10,日次入力!$D$5:$D$404)</f>
        <v/>
      </c>
      <c r="D10" s="23">
        <f>IFERROR($B10/$C10,"")</f>
        <v/>
      </c>
      <c r="E10" s="25">
        <f>IFERROR($B10/$B9-1,"")</f>
        <v/>
      </c>
      <c r="F10" s="25" t="inlineStr"/>
      <c r="G10" s="26" t="n"/>
      <c r="H10" s="25">
        <f>IFERROR($B10/$G10,"")</f>
        <v/>
      </c>
    </row>
    <row r="11">
      <c r="A11" s="22">
        <f>TEXT(EDATE($B$4,4),"yyyy/mm")</f>
        <v/>
      </c>
      <c r="B11" s="23">
        <f>SUMIF(日次入力!$I$5:$I$404,$A11,日次入力!$C$5:$C$404)</f>
        <v/>
      </c>
      <c r="C11" s="24">
        <f>SUMIF(日次入力!$I$5:$I$404,$A11,日次入力!$D$5:$D$404)</f>
        <v/>
      </c>
      <c r="D11" s="23">
        <f>IFERROR($B11/$C11,"")</f>
        <v/>
      </c>
      <c r="E11" s="25">
        <f>IFERROR($B11/$B10-1,"")</f>
        <v/>
      </c>
      <c r="F11" s="25" t="inlineStr"/>
      <c r="G11" s="26" t="n"/>
      <c r="H11" s="25">
        <f>IFERROR($B11/$G11,"")</f>
        <v/>
      </c>
    </row>
    <row r="12">
      <c r="A12" s="22">
        <f>TEXT(EDATE($B$4,5),"yyyy/mm")</f>
        <v/>
      </c>
      <c r="B12" s="23">
        <f>SUMIF(日次入力!$I$5:$I$404,$A12,日次入力!$C$5:$C$404)</f>
        <v/>
      </c>
      <c r="C12" s="24">
        <f>SUMIF(日次入力!$I$5:$I$404,$A12,日次入力!$D$5:$D$404)</f>
        <v/>
      </c>
      <c r="D12" s="23">
        <f>IFERROR($B12/$C12,"")</f>
        <v/>
      </c>
      <c r="E12" s="25">
        <f>IFERROR($B12/$B11-1,"")</f>
        <v/>
      </c>
      <c r="F12" s="25" t="inlineStr"/>
      <c r="G12" s="26" t="n"/>
      <c r="H12" s="25">
        <f>IFERROR($B12/$G12,"")</f>
        <v/>
      </c>
    </row>
    <row r="13">
      <c r="A13" s="22">
        <f>TEXT(EDATE($B$4,6),"yyyy/mm")</f>
        <v/>
      </c>
      <c r="B13" s="23">
        <f>SUMIF(日次入力!$I$5:$I$404,$A13,日次入力!$C$5:$C$404)</f>
        <v/>
      </c>
      <c r="C13" s="24">
        <f>SUMIF(日次入力!$I$5:$I$404,$A13,日次入力!$D$5:$D$404)</f>
        <v/>
      </c>
      <c r="D13" s="23">
        <f>IFERROR($B13/$C13,"")</f>
        <v/>
      </c>
      <c r="E13" s="25">
        <f>IFERROR($B13/$B12-1,"")</f>
        <v/>
      </c>
      <c r="F13" s="25" t="inlineStr"/>
      <c r="G13" s="26" t="n"/>
      <c r="H13" s="25">
        <f>IFERROR($B13/$G13,"")</f>
        <v/>
      </c>
    </row>
    <row r="14">
      <c r="A14" s="22">
        <f>TEXT(EDATE($B$4,7),"yyyy/mm")</f>
        <v/>
      </c>
      <c r="B14" s="23">
        <f>SUMIF(日次入力!$I$5:$I$404,$A14,日次入力!$C$5:$C$404)</f>
        <v/>
      </c>
      <c r="C14" s="24">
        <f>SUMIF(日次入力!$I$5:$I$404,$A14,日次入力!$D$5:$D$404)</f>
        <v/>
      </c>
      <c r="D14" s="23">
        <f>IFERROR($B14/$C14,"")</f>
        <v/>
      </c>
      <c r="E14" s="25">
        <f>IFERROR($B14/$B13-1,"")</f>
        <v/>
      </c>
      <c r="F14" s="25" t="inlineStr"/>
      <c r="G14" s="26" t="n"/>
      <c r="H14" s="25">
        <f>IFERROR($B14/$G14,"")</f>
        <v/>
      </c>
    </row>
    <row r="15">
      <c r="A15" s="22">
        <f>TEXT(EDATE($B$4,8),"yyyy/mm")</f>
        <v/>
      </c>
      <c r="B15" s="23">
        <f>SUMIF(日次入力!$I$5:$I$404,$A15,日次入力!$C$5:$C$404)</f>
        <v/>
      </c>
      <c r="C15" s="24">
        <f>SUMIF(日次入力!$I$5:$I$404,$A15,日次入力!$D$5:$D$404)</f>
        <v/>
      </c>
      <c r="D15" s="23">
        <f>IFERROR($B15/$C15,"")</f>
        <v/>
      </c>
      <c r="E15" s="25">
        <f>IFERROR($B15/$B14-1,"")</f>
        <v/>
      </c>
      <c r="F15" s="25" t="inlineStr"/>
      <c r="G15" s="26" t="n"/>
      <c r="H15" s="25">
        <f>IFERROR($B15/$G15,"")</f>
        <v/>
      </c>
    </row>
    <row r="16">
      <c r="A16" s="22">
        <f>TEXT(EDATE($B$4,9),"yyyy/mm")</f>
        <v/>
      </c>
      <c r="B16" s="23">
        <f>SUMIF(日次入力!$I$5:$I$404,$A16,日次入力!$C$5:$C$404)</f>
        <v/>
      </c>
      <c r="C16" s="24">
        <f>SUMIF(日次入力!$I$5:$I$404,$A16,日次入力!$D$5:$D$404)</f>
        <v/>
      </c>
      <c r="D16" s="23">
        <f>IFERROR($B16/$C16,"")</f>
        <v/>
      </c>
      <c r="E16" s="25">
        <f>IFERROR($B16/$B15-1,"")</f>
        <v/>
      </c>
      <c r="F16" s="25" t="inlineStr"/>
      <c r="G16" s="26" t="n"/>
      <c r="H16" s="25">
        <f>IFERROR($B16/$G16,"")</f>
        <v/>
      </c>
    </row>
    <row r="17">
      <c r="A17" s="22">
        <f>TEXT(EDATE($B$4,10),"yyyy/mm")</f>
        <v/>
      </c>
      <c r="B17" s="23">
        <f>SUMIF(日次入力!$I$5:$I$404,$A17,日次入力!$C$5:$C$404)</f>
        <v/>
      </c>
      <c r="C17" s="24">
        <f>SUMIF(日次入力!$I$5:$I$404,$A17,日次入力!$D$5:$D$404)</f>
        <v/>
      </c>
      <c r="D17" s="23">
        <f>IFERROR($B17/$C17,"")</f>
        <v/>
      </c>
      <c r="E17" s="25">
        <f>IFERROR($B17/$B16-1,"")</f>
        <v/>
      </c>
      <c r="F17" s="25" t="inlineStr"/>
      <c r="G17" s="26" t="n"/>
      <c r="H17" s="25">
        <f>IFERROR($B17/$G17,"")</f>
        <v/>
      </c>
    </row>
    <row r="18">
      <c r="A18" s="22">
        <f>TEXT(EDATE($B$4,11),"yyyy/mm")</f>
        <v/>
      </c>
      <c r="B18" s="23">
        <f>SUMIF(日次入力!$I$5:$I$404,$A18,日次入力!$C$5:$C$404)</f>
        <v/>
      </c>
      <c r="C18" s="24">
        <f>SUMIF(日次入力!$I$5:$I$404,$A18,日次入力!$D$5:$D$404)</f>
        <v/>
      </c>
      <c r="D18" s="23">
        <f>IFERROR($B18/$C18,"")</f>
        <v/>
      </c>
      <c r="E18" s="25">
        <f>IFERROR($B18/$B17-1,"")</f>
        <v/>
      </c>
      <c r="F18" s="25" t="inlineStr"/>
      <c r="G18" s="26" t="n"/>
      <c r="H18" s="25">
        <f>IFERROR($B18/$G18,"")</f>
        <v/>
      </c>
    </row>
    <row r="19">
      <c r="A19" s="22">
        <f>TEXT(EDATE($B$4,12),"yyyy/mm")</f>
        <v/>
      </c>
      <c r="B19" s="23">
        <f>SUMIF(日次入力!$I$5:$I$404,$A19,日次入力!$C$5:$C$404)</f>
        <v/>
      </c>
      <c r="C19" s="24">
        <f>SUMIF(日次入力!$I$5:$I$404,$A19,日次入力!$D$5:$D$404)</f>
        <v/>
      </c>
      <c r="D19" s="23">
        <f>IFERROR($B19/$C19,"")</f>
        <v/>
      </c>
      <c r="E19" s="25">
        <f>IFERROR($B19/$B18-1,"")</f>
        <v/>
      </c>
      <c r="F19" s="25">
        <f>IFERROR($B19/$B7-1,"")</f>
        <v/>
      </c>
      <c r="G19" s="26" t="n"/>
      <c r="H19" s="25">
        <f>IFERROR($B19/$G19,"")</f>
        <v/>
      </c>
    </row>
    <row r="20">
      <c r="A20" s="22">
        <f>TEXT(EDATE($B$4,13),"yyyy/mm")</f>
        <v/>
      </c>
      <c r="B20" s="23">
        <f>SUMIF(日次入力!$I$5:$I$404,$A20,日次入力!$C$5:$C$404)</f>
        <v/>
      </c>
      <c r="C20" s="24">
        <f>SUMIF(日次入力!$I$5:$I$404,$A20,日次入力!$D$5:$D$404)</f>
        <v/>
      </c>
      <c r="D20" s="23">
        <f>IFERROR($B20/$C20,"")</f>
        <v/>
      </c>
      <c r="E20" s="25">
        <f>IFERROR($B20/$B19-1,"")</f>
        <v/>
      </c>
      <c r="F20" s="25">
        <f>IFERROR($B20/$B8-1,"")</f>
        <v/>
      </c>
      <c r="G20" s="26" t="n"/>
      <c r="H20" s="25">
        <f>IFERROR($B20/$G20,"")</f>
        <v/>
      </c>
    </row>
    <row r="21">
      <c r="A21" s="22">
        <f>TEXT(EDATE($B$4,14),"yyyy/mm")</f>
        <v/>
      </c>
      <c r="B21" s="23">
        <f>SUMIF(日次入力!$I$5:$I$404,$A21,日次入力!$C$5:$C$404)</f>
        <v/>
      </c>
      <c r="C21" s="24">
        <f>SUMIF(日次入力!$I$5:$I$404,$A21,日次入力!$D$5:$D$404)</f>
        <v/>
      </c>
      <c r="D21" s="23">
        <f>IFERROR($B21/$C21,"")</f>
        <v/>
      </c>
      <c r="E21" s="25">
        <f>IFERROR($B21/$B20-1,"")</f>
        <v/>
      </c>
      <c r="F21" s="25">
        <f>IFERROR($B21/$B9-1,"")</f>
        <v/>
      </c>
      <c r="G21" s="26" t="n"/>
      <c r="H21" s="25">
        <f>IFERROR($B21/$G21,"")</f>
        <v/>
      </c>
    </row>
    <row r="22">
      <c r="A22" s="22">
        <f>TEXT(EDATE($B$4,15),"yyyy/mm")</f>
        <v/>
      </c>
      <c r="B22" s="23">
        <f>SUMIF(日次入力!$I$5:$I$404,$A22,日次入力!$C$5:$C$404)</f>
        <v/>
      </c>
      <c r="C22" s="24">
        <f>SUMIF(日次入力!$I$5:$I$404,$A22,日次入力!$D$5:$D$404)</f>
        <v/>
      </c>
      <c r="D22" s="23">
        <f>IFERROR($B22/$C22,"")</f>
        <v/>
      </c>
      <c r="E22" s="25">
        <f>IFERROR($B22/$B21-1,"")</f>
        <v/>
      </c>
      <c r="F22" s="25">
        <f>IFERROR($B22/$B10-1,"")</f>
        <v/>
      </c>
      <c r="G22" s="26" t="n"/>
      <c r="H22" s="25">
        <f>IFERROR($B22/$G22,"")</f>
        <v/>
      </c>
    </row>
    <row r="23">
      <c r="A23" s="22">
        <f>TEXT(EDATE($B$4,16),"yyyy/mm")</f>
        <v/>
      </c>
      <c r="B23" s="23">
        <f>SUMIF(日次入力!$I$5:$I$404,$A23,日次入力!$C$5:$C$404)</f>
        <v/>
      </c>
      <c r="C23" s="24">
        <f>SUMIF(日次入力!$I$5:$I$404,$A23,日次入力!$D$5:$D$404)</f>
        <v/>
      </c>
      <c r="D23" s="23">
        <f>IFERROR($B23/$C23,"")</f>
        <v/>
      </c>
      <c r="E23" s="25">
        <f>IFERROR($B23/$B22-1,"")</f>
        <v/>
      </c>
      <c r="F23" s="25">
        <f>IFERROR($B23/$B11-1,"")</f>
        <v/>
      </c>
      <c r="G23" s="26" t="n"/>
      <c r="H23" s="25">
        <f>IFERROR($B23/$G23,"")</f>
        <v/>
      </c>
    </row>
    <row r="24">
      <c r="A24" s="22">
        <f>TEXT(EDATE($B$4,17),"yyyy/mm")</f>
        <v/>
      </c>
      <c r="B24" s="23">
        <f>SUMIF(日次入力!$I$5:$I$404,$A24,日次入力!$C$5:$C$404)</f>
        <v/>
      </c>
      <c r="C24" s="24">
        <f>SUMIF(日次入力!$I$5:$I$404,$A24,日次入力!$D$5:$D$404)</f>
        <v/>
      </c>
      <c r="D24" s="23">
        <f>IFERROR($B24/$C24,"")</f>
        <v/>
      </c>
      <c r="E24" s="25">
        <f>IFERROR($B24/$B23-1,"")</f>
        <v/>
      </c>
      <c r="F24" s="25">
        <f>IFERROR($B24/$B12-1,"")</f>
        <v/>
      </c>
      <c r="G24" s="26" t="n"/>
      <c r="H24" s="25">
        <f>IFERROR($B24/$G24,"")</f>
        <v/>
      </c>
    </row>
    <row r="25">
      <c r="A25" s="22">
        <f>TEXT(EDATE($B$4,18),"yyyy/mm")</f>
        <v/>
      </c>
      <c r="B25" s="23">
        <f>SUMIF(日次入力!$I$5:$I$404,$A25,日次入力!$C$5:$C$404)</f>
        <v/>
      </c>
      <c r="C25" s="24">
        <f>SUMIF(日次入力!$I$5:$I$404,$A25,日次入力!$D$5:$D$404)</f>
        <v/>
      </c>
      <c r="D25" s="23">
        <f>IFERROR($B25/$C25,"")</f>
        <v/>
      </c>
      <c r="E25" s="25">
        <f>IFERROR($B25/$B24-1,"")</f>
        <v/>
      </c>
      <c r="F25" s="25">
        <f>IFERROR($B25/$B13-1,"")</f>
        <v/>
      </c>
      <c r="G25" s="26" t="n"/>
      <c r="H25" s="25">
        <f>IFERROR($B25/$G25,"")</f>
        <v/>
      </c>
    </row>
    <row r="26">
      <c r="A26" s="22">
        <f>TEXT(EDATE($B$4,19),"yyyy/mm")</f>
        <v/>
      </c>
      <c r="B26" s="23">
        <f>SUMIF(日次入力!$I$5:$I$404,$A26,日次入力!$C$5:$C$404)</f>
        <v/>
      </c>
      <c r="C26" s="24">
        <f>SUMIF(日次入力!$I$5:$I$404,$A26,日次入力!$D$5:$D$404)</f>
        <v/>
      </c>
      <c r="D26" s="23">
        <f>IFERROR($B26/$C26,"")</f>
        <v/>
      </c>
      <c r="E26" s="25">
        <f>IFERROR($B26/$B25-1,"")</f>
        <v/>
      </c>
      <c r="F26" s="25">
        <f>IFERROR($B26/$B14-1,"")</f>
        <v/>
      </c>
      <c r="G26" s="26" t="n"/>
      <c r="H26" s="25">
        <f>IFERROR($B26/$G26,"")</f>
        <v/>
      </c>
    </row>
    <row r="27">
      <c r="A27" s="22">
        <f>TEXT(EDATE($B$4,20),"yyyy/mm")</f>
        <v/>
      </c>
      <c r="B27" s="23">
        <f>SUMIF(日次入力!$I$5:$I$404,$A27,日次入力!$C$5:$C$404)</f>
        <v/>
      </c>
      <c r="C27" s="24">
        <f>SUMIF(日次入力!$I$5:$I$404,$A27,日次入力!$D$5:$D$404)</f>
        <v/>
      </c>
      <c r="D27" s="23">
        <f>IFERROR($B27/$C27,"")</f>
        <v/>
      </c>
      <c r="E27" s="25">
        <f>IFERROR($B27/$B26-1,"")</f>
        <v/>
      </c>
      <c r="F27" s="25">
        <f>IFERROR($B27/$B15-1,"")</f>
        <v/>
      </c>
      <c r="G27" s="26" t="n"/>
      <c r="H27" s="25">
        <f>IFERROR($B27/$G27,"")</f>
        <v/>
      </c>
    </row>
    <row r="28">
      <c r="A28" s="22">
        <f>TEXT(EDATE($B$4,21),"yyyy/mm")</f>
        <v/>
      </c>
      <c r="B28" s="23">
        <f>SUMIF(日次入力!$I$5:$I$404,$A28,日次入力!$C$5:$C$404)</f>
        <v/>
      </c>
      <c r="C28" s="24">
        <f>SUMIF(日次入力!$I$5:$I$404,$A28,日次入力!$D$5:$D$404)</f>
        <v/>
      </c>
      <c r="D28" s="23">
        <f>IFERROR($B28/$C28,"")</f>
        <v/>
      </c>
      <c r="E28" s="25">
        <f>IFERROR($B28/$B27-1,"")</f>
        <v/>
      </c>
      <c r="F28" s="25">
        <f>IFERROR($B28/$B16-1,"")</f>
        <v/>
      </c>
      <c r="G28" s="26" t="n"/>
      <c r="H28" s="25">
        <f>IFERROR($B28/$G28,"")</f>
        <v/>
      </c>
    </row>
    <row r="29">
      <c r="A29" s="22">
        <f>TEXT(EDATE($B$4,22),"yyyy/mm")</f>
        <v/>
      </c>
      <c r="B29" s="23">
        <f>SUMIF(日次入力!$I$5:$I$404,$A29,日次入力!$C$5:$C$404)</f>
        <v/>
      </c>
      <c r="C29" s="24">
        <f>SUMIF(日次入力!$I$5:$I$404,$A29,日次入力!$D$5:$D$404)</f>
        <v/>
      </c>
      <c r="D29" s="23">
        <f>IFERROR($B29/$C29,"")</f>
        <v/>
      </c>
      <c r="E29" s="25">
        <f>IFERROR($B29/$B28-1,"")</f>
        <v/>
      </c>
      <c r="F29" s="25">
        <f>IFERROR($B29/$B17-1,"")</f>
        <v/>
      </c>
      <c r="G29" s="26" t="n"/>
      <c r="H29" s="25">
        <f>IFERROR($B29/$G29,"")</f>
        <v/>
      </c>
    </row>
    <row r="30">
      <c r="A30" s="22">
        <f>TEXT(EDATE($B$4,23),"yyyy/mm")</f>
        <v/>
      </c>
      <c r="B30" s="23">
        <f>SUMIF(日次入力!$I$5:$I$404,$A30,日次入力!$C$5:$C$404)</f>
        <v/>
      </c>
      <c r="C30" s="24">
        <f>SUMIF(日次入力!$I$5:$I$404,$A30,日次入力!$D$5:$D$404)</f>
        <v/>
      </c>
      <c r="D30" s="23">
        <f>IFERROR($B30/$C30,"")</f>
        <v/>
      </c>
      <c r="E30" s="25">
        <f>IFERROR($B30/$B29-1,"")</f>
        <v/>
      </c>
      <c r="F30" s="25">
        <f>IFERROR($B30/$B18-1,"")</f>
        <v/>
      </c>
      <c r="G30" s="26" t="n"/>
      <c r="H30" s="25">
        <f>IFERROR($B30/$G30,"")</f>
        <v/>
      </c>
    </row>
    <row r="32">
      <c r="A32" s="2" t="inlineStr">
        <is>
          <t>※ 客単価平均は 売上合計 ÷ 来客数合計。日ごとの客単価を足して割った値とは少しずれます。</t>
        </is>
      </c>
    </row>
    <row r="33">
      <c r="A33" s="2" t="inlineStr">
        <is>
          <t>※ 前年同月比は13か月目から出ます。それまでは空欄のままで正常です。</t>
        </is>
      </c>
    </row>
    <row r="34">
      <c r="A34" s="2" t="inlineStr">
        <is>
          <t>※ 目標を空のままにすると、達成率も空欄になります。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売上管理表｜グラフ</t>
        </is>
      </c>
    </row>
    <row r="2">
      <c r="A2" s="2" t="inlineStr">
        <is>
          <t>月次集計シートの数字がそのまま出ます。触るところはありません。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売上管理表｜商品・サービス別</t>
        </is>
      </c>
    </row>
    <row r="2">
      <c r="A2" s="2" t="inlineStr">
        <is>
          <t>青い字のセルに入力してください。粗利と粗利率は自動で出ます。5行目は記入例です。</t>
        </is>
      </c>
    </row>
    <row r="4">
      <c r="A4" s="7" t="inlineStr">
        <is>
          <t>商品・サービス名</t>
        </is>
      </c>
      <c r="B4" s="7" t="inlineStr">
        <is>
          <t>売価</t>
        </is>
      </c>
      <c r="C4" s="7" t="inlineStr">
        <is>
          <t>原価</t>
        </is>
      </c>
      <c r="D4" s="7" t="inlineStr">
        <is>
          <t>粗利</t>
        </is>
      </c>
      <c r="E4" s="7" t="inlineStr">
        <is>
          <t>粗利率</t>
        </is>
      </c>
      <c r="F4" s="7" t="inlineStr">
        <is>
          <t>月の販売数</t>
        </is>
      </c>
      <c r="G4" s="7" t="inlineStr">
        <is>
          <t>売上</t>
        </is>
      </c>
      <c r="H4" s="7" t="inlineStr">
        <is>
          <t>粗利合計</t>
        </is>
      </c>
    </row>
    <row r="5">
      <c r="A5" s="27" t="inlineStr">
        <is>
          <t>看板の定食</t>
        </is>
      </c>
      <c r="B5" s="26" t="n">
        <v>1200</v>
      </c>
      <c r="C5" s="26" t="n">
        <v>540</v>
      </c>
      <c r="D5" s="23">
        <f>IF($B5="","",$B5-$C5)</f>
        <v/>
      </c>
      <c r="E5" s="25">
        <f>IFERROR($D5/$B5,"")</f>
        <v/>
      </c>
      <c r="F5" s="28" t="n">
        <v>320</v>
      </c>
      <c r="G5" s="23">
        <f>IF($B5="","",$B5*$F5)</f>
        <v/>
      </c>
      <c r="H5" s="23">
        <f>IF($B5="","",$D5*$F5)</f>
        <v/>
      </c>
    </row>
    <row r="6">
      <c r="A6" s="27" t="n"/>
      <c r="B6" s="26" t="n"/>
      <c r="C6" s="26" t="n"/>
      <c r="D6" s="23">
        <f>IF($B6="","",$B6-$C6)</f>
        <v/>
      </c>
      <c r="E6" s="25">
        <f>IFERROR($D6/$B6,"")</f>
        <v/>
      </c>
      <c r="F6" s="28" t="n"/>
      <c r="G6" s="23">
        <f>IF($B6="","",$B6*$F6)</f>
        <v/>
      </c>
      <c r="H6" s="23">
        <f>IF($B6="","",$D6*$F6)</f>
        <v/>
      </c>
    </row>
    <row r="7">
      <c r="A7" s="27" t="n"/>
      <c r="B7" s="26" t="n"/>
      <c r="C7" s="26" t="n"/>
      <c r="D7" s="23">
        <f>IF($B7="","",$B7-$C7)</f>
        <v/>
      </c>
      <c r="E7" s="25">
        <f>IFERROR($D7/$B7,"")</f>
        <v/>
      </c>
      <c r="F7" s="28" t="n"/>
      <c r="G7" s="23">
        <f>IF($B7="","",$B7*$F7)</f>
        <v/>
      </c>
      <c r="H7" s="23">
        <f>IF($B7="","",$D7*$F7)</f>
        <v/>
      </c>
    </row>
    <row r="8">
      <c r="A8" s="27" t="n"/>
      <c r="B8" s="26" t="n"/>
      <c r="C8" s="26" t="n"/>
      <c r="D8" s="23">
        <f>IF($B8="","",$B8-$C8)</f>
        <v/>
      </c>
      <c r="E8" s="25">
        <f>IFERROR($D8/$B8,"")</f>
        <v/>
      </c>
      <c r="F8" s="28" t="n"/>
      <c r="G8" s="23">
        <f>IF($B8="","",$B8*$F8)</f>
        <v/>
      </c>
      <c r="H8" s="23">
        <f>IF($B8="","",$D8*$F8)</f>
        <v/>
      </c>
    </row>
    <row r="9">
      <c r="A9" s="27" t="n"/>
      <c r="B9" s="26" t="n"/>
      <c r="C9" s="26" t="n"/>
      <c r="D9" s="23">
        <f>IF($B9="","",$B9-$C9)</f>
        <v/>
      </c>
      <c r="E9" s="25">
        <f>IFERROR($D9/$B9,"")</f>
        <v/>
      </c>
      <c r="F9" s="28" t="n"/>
      <c r="G9" s="23">
        <f>IF($B9="","",$B9*$F9)</f>
        <v/>
      </c>
      <c r="H9" s="23">
        <f>IF($B9="","",$D9*$F9)</f>
        <v/>
      </c>
    </row>
    <row r="10">
      <c r="A10" s="27" t="n"/>
      <c r="B10" s="26" t="n"/>
      <c r="C10" s="26" t="n"/>
      <c r="D10" s="23">
        <f>IF($B10="","",$B10-$C10)</f>
        <v/>
      </c>
      <c r="E10" s="25">
        <f>IFERROR($D10/$B10,"")</f>
        <v/>
      </c>
      <c r="F10" s="28" t="n"/>
      <c r="G10" s="23">
        <f>IF($B10="","",$B10*$F10)</f>
        <v/>
      </c>
      <c r="H10" s="23">
        <f>IF($B10="","",$D10*$F10)</f>
        <v/>
      </c>
    </row>
    <row r="11">
      <c r="A11" s="27" t="n"/>
      <c r="B11" s="26" t="n"/>
      <c r="C11" s="26" t="n"/>
      <c r="D11" s="23">
        <f>IF($B11="","",$B11-$C11)</f>
        <v/>
      </c>
      <c r="E11" s="25">
        <f>IFERROR($D11/$B11,"")</f>
        <v/>
      </c>
      <c r="F11" s="28" t="n"/>
      <c r="G11" s="23">
        <f>IF($B11="","",$B11*$F11)</f>
        <v/>
      </c>
      <c r="H11" s="23">
        <f>IF($B11="","",$D11*$F11)</f>
        <v/>
      </c>
    </row>
    <row r="12">
      <c r="A12" s="27" t="n"/>
      <c r="B12" s="26" t="n"/>
      <c r="C12" s="26" t="n"/>
      <c r="D12" s="23">
        <f>IF($B12="","",$B12-$C12)</f>
        <v/>
      </c>
      <c r="E12" s="25">
        <f>IFERROR($D12/$B12,"")</f>
        <v/>
      </c>
      <c r="F12" s="28" t="n"/>
      <c r="G12" s="23">
        <f>IF($B12="","",$B12*$F12)</f>
        <v/>
      </c>
      <c r="H12" s="23">
        <f>IF($B12="","",$D12*$F12)</f>
        <v/>
      </c>
    </row>
    <row r="13">
      <c r="A13" s="27" t="n"/>
      <c r="B13" s="26" t="n"/>
      <c r="C13" s="26" t="n"/>
      <c r="D13" s="23">
        <f>IF($B13="","",$B13-$C13)</f>
        <v/>
      </c>
      <c r="E13" s="25">
        <f>IFERROR($D13/$B13,"")</f>
        <v/>
      </c>
      <c r="F13" s="28" t="n"/>
      <c r="G13" s="23">
        <f>IF($B13="","",$B13*$F13)</f>
        <v/>
      </c>
      <c r="H13" s="23">
        <f>IF($B13="","",$D13*$F13)</f>
        <v/>
      </c>
    </row>
    <row r="14">
      <c r="A14" s="27" t="n"/>
      <c r="B14" s="26" t="n"/>
      <c r="C14" s="26" t="n"/>
      <c r="D14" s="23">
        <f>IF($B14="","",$B14-$C14)</f>
        <v/>
      </c>
      <c r="E14" s="25">
        <f>IFERROR($D14/$B14,"")</f>
        <v/>
      </c>
      <c r="F14" s="28" t="n"/>
      <c r="G14" s="23">
        <f>IF($B14="","",$B14*$F14)</f>
        <v/>
      </c>
      <c r="H14" s="23">
        <f>IF($B14="","",$D14*$F14)</f>
        <v/>
      </c>
    </row>
    <row r="15">
      <c r="A15" s="27" t="n"/>
      <c r="B15" s="26" t="n"/>
      <c r="C15" s="26" t="n"/>
      <c r="D15" s="23">
        <f>IF($B15="","",$B15-$C15)</f>
        <v/>
      </c>
      <c r="E15" s="25">
        <f>IFERROR($D15/$B15,"")</f>
        <v/>
      </c>
      <c r="F15" s="28" t="n"/>
      <c r="G15" s="23">
        <f>IF($B15="","",$B15*$F15)</f>
        <v/>
      </c>
      <c r="H15" s="23">
        <f>IF($B15="","",$D15*$F15)</f>
        <v/>
      </c>
    </row>
    <row r="16">
      <c r="A16" s="27" t="n"/>
      <c r="B16" s="26" t="n"/>
      <c r="C16" s="26" t="n"/>
      <c r="D16" s="23">
        <f>IF($B16="","",$B16-$C16)</f>
        <v/>
      </c>
      <c r="E16" s="25">
        <f>IFERROR($D16/$B16,"")</f>
        <v/>
      </c>
      <c r="F16" s="28" t="n"/>
      <c r="G16" s="23">
        <f>IF($B16="","",$B16*$F16)</f>
        <v/>
      </c>
      <c r="H16" s="23">
        <f>IF($B16="","",$D16*$F16)</f>
        <v/>
      </c>
    </row>
    <row r="17">
      <c r="A17" s="27" t="n"/>
      <c r="B17" s="26" t="n"/>
      <c r="C17" s="26" t="n"/>
      <c r="D17" s="23">
        <f>IF($B17="","",$B17-$C17)</f>
        <v/>
      </c>
      <c r="E17" s="25">
        <f>IFERROR($D17/$B17,"")</f>
        <v/>
      </c>
      <c r="F17" s="28" t="n"/>
      <c r="G17" s="23">
        <f>IF($B17="","",$B17*$F17)</f>
        <v/>
      </c>
      <c r="H17" s="23">
        <f>IF($B17="","",$D17*$F17)</f>
        <v/>
      </c>
    </row>
    <row r="18">
      <c r="A18" s="27" t="n"/>
      <c r="B18" s="26" t="n"/>
      <c r="C18" s="26" t="n"/>
      <c r="D18" s="23">
        <f>IF($B18="","",$B18-$C18)</f>
        <v/>
      </c>
      <c r="E18" s="25">
        <f>IFERROR($D18/$B18,"")</f>
        <v/>
      </c>
      <c r="F18" s="28" t="n"/>
      <c r="G18" s="23">
        <f>IF($B18="","",$B18*$F18)</f>
        <v/>
      </c>
      <c r="H18" s="23">
        <f>IF($B18="","",$D18*$F18)</f>
        <v/>
      </c>
    </row>
    <row r="19">
      <c r="A19" s="27" t="n"/>
      <c r="B19" s="26" t="n"/>
      <c r="C19" s="26" t="n"/>
      <c r="D19" s="23">
        <f>IF($B19="","",$B19-$C19)</f>
        <v/>
      </c>
      <c r="E19" s="25">
        <f>IFERROR($D19/$B19,"")</f>
        <v/>
      </c>
      <c r="F19" s="28" t="n"/>
      <c r="G19" s="23">
        <f>IF($B19="","",$B19*$F19)</f>
        <v/>
      </c>
      <c r="H19" s="23">
        <f>IF($B19="","",$D19*$F19)</f>
        <v/>
      </c>
    </row>
    <row r="20">
      <c r="A20" s="27" t="n"/>
      <c r="B20" s="26" t="n"/>
      <c r="C20" s="26" t="n"/>
      <c r="D20" s="23">
        <f>IF($B20="","",$B20-$C20)</f>
        <v/>
      </c>
      <c r="E20" s="25">
        <f>IFERROR($D20/$B20,"")</f>
        <v/>
      </c>
      <c r="F20" s="28" t="n"/>
      <c r="G20" s="23">
        <f>IF($B20="","",$B20*$F20)</f>
        <v/>
      </c>
      <c r="H20" s="23">
        <f>IF($B20="","",$D20*$F20)</f>
        <v/>
      </c>
    </row>
    <row r="21">
      <c r="A21" s="27" t="n"/>
      <c r="B21" s="26" t="n"/>
      <c r="C21" s="26" t="n"/>
      <c r="D21" s="23">
        <f>IF($B21="","",$B21-$C21)</f>
        <v/>
      </c>
      <c r="E21" s="25">
        <f>IFERROR($D21/$B21,"")</f>
        <v/>
      </c>
      <c r="F21" s="28" t="n"/>
      <c r="G21" s="23">
        <f>IF($B21="","",$B21*$F21)</f>
        <v/>
      </c>
      <c r="H21" s="23">
        <f>IF($B21="","",$D21*$F21)</f>
        <v/>
      </c>
    </row>
    <row r="22">
      <c r="A22" s="27" t="n"/>
      <c r="B22" s="26" t="n"/>
      <c r="C22" s="26" t="n"/>
      <c r="D22" s="23">
        <f>IF($B22="","",$B22-$C22)</f>
        <v/>
      </c>
      <c r="E22" s="25">
        <f>IFERROR($D22/$B22,"")</f>
        <v/>
      </c>
      <c r="F22" s="28" t="n"/>
      <c r="G22" s="23">
        <f>IF($B22="","",$B22*$F22)</f>
        <v/>
      </c>
      <c r="H22" s="23">
        <f>IF($B22="","",$D22*$F22)</f>
        <v/>
      </c>
    </row>
    <row r="23">
      <c r="A23" s="27" t="n"/>
      <c r="B23" s="26" t="n"/>
      <c r="C23" s="26" t="n"/>
      <c r="D23" s="23">
        <f>IF($B23="","",$B23-$C23)</f>
        <v/>
      </c>
      <c r="E23" s="25">
        <f>IFERROR($D23/$B23,"")</f>
        <v/>
      </c>
      <c r="F23" s="28" t="n"/>
      <c r="G23" s="23">
        <f>IF($B23="","",$B23*$F23)</f>
        <v/>
      </c>
      <c r="H23" s="23">
        <f>IF($B23="","",$D23*$F23)</f>
        <v/>
      </c>
    </row>
    <row r="24">
      <c r="A24" s="27" t="n"/>
      <c r="B24" s="26" t="n"/>
      <c r="C24" s="26" t="n"/>
      <c r="D24" s="23">
        <f>IF($B24="","",$B24-$C24)</f>
        <v/>
      </c>
      <c r="E24" s="25">
        <f>IFERROR($D24/$B24,"")</f>
        <v/>
      </c>
      <c r="F24" s="28" t="n"/>
      <c r="G24" s="23">
        <f>IF($B24="","",$B24*$F24)</f>
        <v/>
      </c>
      <c r="H24" s="23">
        <f>IF($B24="","",$D24*$F24)</f>
        <v/>
      </c>
    </row>
    <row r="25">
      <c r="A25" s="3" t="inlineStr">
        <is>
          <t>合計</t>
        </is>
      </c>
      <c r="B25" s="4" t="n"/>
      <c r="C25" s="4" t="n"/>
      <c r="D25" s="4" t="n"/>
      <c r="E25" s="29">
        <f>IFERROR(H25/G25,"")</f>
        <v/>
      </c>
      <c r="F25" s="4" t="n"/>
      <c r="G25" s="5">
        <f>SUM(G5:G24)</f>
        <v/>
      </c>
      <c r="H25" s="5">
        <f>SUM(H5:H24)</f>
        <v/>
      </c>
    </row>
    <row r="27">
      <c r="A27" s="2" t="inlineStr">
        <is>
          <t>※ 売上が多い商品と、粗利率が高い商品は一致しません。両方を見て売るものを決めてください。</t>
        </is>
      </c>
    </row>
    <row r="28">
      <c r="A28" s="2" t="inlineStr">
        <is>
          <t>※ 記入例は 売価1,200円・原価540円（粗利率55%）・月320食。上書きして使ってください。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2026-09-23T12:19:28Z</dcterms:created>
  <dcterms:modified xsi:type="dcterms:W3CDTF">2026-09-23T12:19:28Z</dcterms:modified>
</cp:coreProperties>
</file>